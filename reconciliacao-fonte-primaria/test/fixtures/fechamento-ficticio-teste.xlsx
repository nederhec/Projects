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PAG TESTE" state="visible" r:id="rId4"/>
    <sheet sheetId="2" name="BALANCETE 02.2026" state="visible" r:id="rId5"/>
    <sheet sheetId="3" name="Balancete 03-2026" state="visible" r:id="rId6"/>
    <sheet sheetId="4" name="BALANCETE 04.2026" state="visible" r:id="rId7"/>
    <sheet sheetId="5" name="RAZÃO 04.2026" state="visible" r:id="rId8"/>
    <sheet sheetId="6" name="CHECK" state="visible" r:id="rId9"/>
  </sheets>
  <calcPr calcId="171027"/>
</workbook>
</file>

<file path=xl/sharedStrings.xml><?xml version="1.0" encoding="utf-8"?>
<sst xmlns="http://schemas.openxmlformats.org/spreadsheetml/2006/main" count="103" uniqueCount="48">
  <si>
    <t>planilha de teste — dados 100% fictícios</t>
  </si>
  <si>
    <t>NOME</t>
  </si>
  <si>
    <t>MES</t>
  </si>
  <si>
    <t>Centro  de   Custo</t>
  </si>
  <si>
    <t>SALARIO</t>
  </si>
  <si>
    <t>HORAS EXTRAS</t>
  </si>
  <si>
    <t>BENEFICIOS</t>
  </si>
  <si>
    <t>ENCARGOS</t>
  </si>
  <si>
    <t>TOTAL PROVENTOS</t>
  </si>
  <si>
    <t>ANA TESTE SILVA</t>
  </si>
  <si>
    <t>Comercial</t>
  </si>
  <si>
    <t>BRUNO TESTE COSTA</t>
  </si>
  <si>
    <t>Operações</t>
  </si>
  <si>
    <t>CARLA TESTE LIMA</t>
  </si>
  <si>
    <t>Código</t>
  </si>
  <si>
    <t>Classificação</t>
  </si>
  <si>
    <t>Nome</t>
  </si>
  <si>
    <t>Débito</t>
  </si>
  <si>
    <t>Crédito</t>
  </si>
  <si>
    <t>4.2.01.001.001</t>
  </si>
  <si>
    <t>SALARIO BASE TESTE</t>
  </si>
  <si>
    <t>4.2.01.001.002</t>
  </si>
  <si>
    <t>HORAS EXTRAS TESTE</t>
  </si>
  <si>
    <t>4.2.01.001.003</t>
  </si>
  <si>
    <t>BENEFICIOS TESTE</t>
  </si>
  <si>
    <t>4.2.01.004.001</t>
  </si>
  <si>
    <t>ENCARGOS TESTE</t>
  </si>
  <si>
    <t>4.2.01.001</t>
  </si>
  <si>
    <t>GRUPO SALARIAL TESTE (pai)</t>
  </si>
  <si>
    <t>4.2.01.001.009</t>
  </si>
  <si>
    <t>AUXILIO CRECHE TESTE (fantasma)</t>
  </si>
  <si>
    <t>Data</t>
  </si>
  <si>
    <t>Histórico</t>
  </si>
  <si>
    <t>Contra</t>
  </si>
  <si>
    <t>Reclassificação teste 1</t>
  </si>
  <si>
    <t>Reclassificação teste 2</t>
  </si>
  <si>
    <t>JANEIRO</t>
  </si>
  <si>
    <t>FEVEREIRO</t>
  </si>
  <si>
    <t>MARÇO</t>
  </si>
  <si>
    <t>ABRIL</t>
  </si>
  <si>
    <t>FOPAG</t>
  </si>
  <si>
    <t>CONTABIL</t>
  </si>
  <si>
    <t>DIFERENÇA</t>
  </si>
  <si>
    <t>DESCRIÇÃO CONTA</t>
  </si>
  <si>
    <t>SALARIO BASE TESTE (4.2.01.001.001)</t>
  </si>
  <si>
    <t>HORAS EXTRAS TESTE (4.2.01.001.002)</t>
  </si>
  <si>
    <t>BENEFICIOS TESTE (4.2.01.001.003)</t>
  </si>
  <si>
    <t>ENCARGOS TESTE (4.2.01.004.001)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</si>
</sst>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sheetData>
    <row r="1" spans="1:1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 t="s">
        <v>9</v>
      </c>
      <c r="B3" s="1">
        <v>46023</v>
      </c>
      <c r="C3" t="s">
        <v>10</v>
      </c>
      <c r="D3">
        <v>8000</v>
      </c>
      <c r="E3">
        <v>400</v>
      </c>
      <c r="F3">
        <v>600</v>
      </c>
      <c r="G3">
        <v>1800</v>
      </c>
      <c r="H3">
        <v>10800</v>
      </c>
    </row>
    <row r="4" spans="1:8" x14ac:dyDescent="0.25">
      <c r="A4" t="s">
        <v>11</v>
      </c>
      <c r="B4" s="1">
        <v>46023</v>
      </c>
      <c r="C4" t="s">
        <v>12</v>
      </c>
      <c r="D4">
        <v>6500</v>
      </c>
      <c r="E4">
        <v>250</v>
      </c>
      <c r="F4">
        <v>500</v>
      </c>
      <c r="G4">
        <v>1450</v>
      </c>
      <c r="H4">
        <v>8700</v>
      </c>
    </row>
    <row r="5" spans="1:8" x14ac:dyDescent="0.25">
      <c r="A5" t="s">
        <v>13</v>
      </c>
      <c r="B5" s="1">
        <v>46023</v>
      </c>
      <c r="C5" t="s">
        <v>10</v>
      </c>
      <c r="D5">
        <v>9200</v>
      </c>
      <c r="E5">
        <v>0</v>
      </c>
      <c r="F5">
        <v>700</v>
      </c>
      <c r="G5">
        <v>2100</v>
      </c>
      <c r="H5">
        <v>12000</v>
      </c>
    </row>
    <row r="6" spans="1:8" x14ac:dyDescent="0.25">
      <c r="A6" t="s">
        <v>9</v>
      </c>
      <c r="B6" s="1">
        <v>46054</v>
      </c>
      <c r="C6" t="s">
        <v>10</v>
      </c>
      <c r="D6">
        <v>8080</v>
      </c>
      <c r="E6">
        <v>404</v>
      </c>
      <c r="F6">
        <v>600</v>
      </c>
      <c r="G6">
        <v>1818</v>
      </c>
      <c r="H6">
        <v>10902</v>
      </c>
    </row>
    <row r="7" spans="1:8" x14ac:dyDescent="0.25">
      <c r="A7" t="s">
        <v>11</v>
      </c>
      <c r="B7" s="1">
        <v>46054</v>
      </c>
      <c r="C7" t="s">
        <v>12</v>
      </c>
      <c r="D7">
        <v>6565</v>
      </c>
      <c r="E7">
        <v>252.5</v>
      </c>
      <c r="F7">
        <v>500</v>
      </c>
      <c r="G7">
        <v>1464.5</v>
      </c>
      <c r="H7">
        <v>8782</v>
      </c>
    </row>
    <row r="8" spans="1:8" x14ac:dyDescent="0.25">
      <c r="A8" t="s">
        <v>13</v>
      </c>
      <c r="B8" s="1">
        <v>46054</v>
      </c>
      <c r="C8" t="s">
        <v>10</v>
      </c>
      <c r="D8">
        <v>9292</v>
      </c>
      <c r="E8">
        <v>0</v>
      </c>
      <c r="F8">
        <v>700</v>
      </c>
      <c r="G8">
        <v>2121</v>
      </c>
      <c r="H8">
        <v>12113</v>
      </c>
    </row>
    <row r="9" spans="1:8" x14ac:dyDescent="0.25">
      <c r="A9" t="s">
        <v>9</v>
      </c>
      <c r="B9" s="1">
        <v>46082</v>
      </c>
      <c r="C9" t="s">
        <v>10</v>
      </c>
      <c r="D9">
        <v>8160</v>
      </c>
      <c r="E9">
        <v>408</v>
      </c>
      <c r="F9">
        <v>600</v>
      </c>
      <c r="G9">
        <v>1836</v>
      </c>
      <c r="H9">
        <v>11004</v>
      </c>
    </row>
    <row r="10" spans="1:8" x14ac:dyDescent="0.25">
      <c r="A10" t="s">
        <v>11</v>
      </c>
      <c r="B10" s="1">
        <v>46082</v>
      </c>
      <c r="C10" t="s">
        <v>12</v>
      </c>
      <c r="D10">
        <v>6630</v>
      </c>
      <c r="E10">
        <v>255</v>
      </c>
      <c r="F10">
        <v>500</v>
      </c>
      <c r="G10">
        <v>1479</v>
      </c>
      <c r="H10">
        <v>8864</v>
      </c>
    </row>
    <row r="11" spans="1:8" x14ac:dyDescent="0.25">
      <c r="A11" t="s">
        <v>13</v>
      </c>
      <c r="B11" s="1">
        <v>46082</v>
      </c>
      <c r="C11" t="s">
        <v>10</v>
      </c>
      <c r="D11">
        <v>9384</v>
      </c>
      <c r="E11">
        <v>0</v>
      </c>
      <c r="F11">
        <v>700</v>
      </c>
      <c r="G11">
        <v>2142</v>
      </c>
      <c r="H11">
        <v>12226</v>
      </c>
    </row>
    <row r="12" spans="1:8" x14ac:dyDescent="0.25">
      <c r="A12" t="s">
        <v>9</v>
      </c>
      <c r="B12" s="1">
        <v>46113</v>
      </c>
      <c r="C12" t="s">
        <v>10</v>
      </c>
      <c r="D12">
        <v>8240</v>
      </c>
      <c r="E12">
        <v>412</v>
      </c>
      <c r="F12">
        <v>600</v>
      </c>
      <c r="G12">
        <v>1854</v>
      </c>
      <c r="H12">
        <v>11106</v>
      </c>
    </row>
    <row r="13" spans="1:8" x14ac:dyDescent="0.25">
      <c r="A13" t="s">
        <v>11</v>
      </c>
      <c r="B13" s="1">
        <v>46113</v>
      </c>
      <c r="C13" t="s">
        <v>12</v>
      </c>
      <c r="D13">
        <v>6695</v>
      </c>
      <c r="E13">
        <v>257.5</v>
      </c>
      <c r="F13">
        <v>500</v>
      </c>
      <c r="G13">
        <v>1493.5</v>
      </c>
      <c r="H13">
        <v>8946</v>
      </c>
    </row>
    <row r="14" spans="1:8" x14ac:dyDescent="0.25">
      <c r="A14" t="s">
        <v>13</v>
      </c>
      <c r="B14" s="1">
        <v>46113</v>
      </c>
      <c r="C14" t="s">
        <v>10</v>
      </c>
      <c r="D14">
        <v>9476</v>
      </c>
      <c r="E14">
        <v>0</v>
      </c>
      <c r="F14">
        <v>700</v>
      </c>
      <c r="G14">
        <v>2163</v>
      </c>
      <c r="H14">
        <v>12339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9" x14ac:dyDescent="0.25">
      <c r="A1" t="s">
        <v>14</v>
      </c>
      <c r="B1" t="s">
        <v>15</v>
      </c>
      <c r="E1" t="s">
        <v>16</v>
      </c>
      <c r="H1" t="s">
        <v>17</v>
      </c>
      <c r="I1" t="s">
        <v>18</v>
      </c>
    </row>
    <row r="2" spans="1:9" x14ac:dyDescent="0.25">
      <c r="A2">
        <v>2</v>
      </c>
      <c r="B2" t="s">
        <v>19</v>
      </c>
      <c r="E2" t="s">
        <v>20</v>
      </c>
      <c r="H2">
        <v>23937</v>
      </c>
      <c r="I2">
        <v>0</v>
      </c>
    </row>
    <row r="3" spans="1:9" x14ac:dyDescent="0.25">
      <c r="A3">
        <v>3</v>
      </c>
      <c r="B3" t="s">
        <v>21</v>
      </c>
      <c r="E3" t="s">
        <v>22</v>
      </c>
      <c r="H3">
        <v>656.5</v>
      </c>
      <c r="I3">
        <v>0</v>
      </c>
    </row>
    <row r="4" spans="1:9" x14ac:dyDescent="0.25">
      <c r="A4">
        <v>4</v>
      </c>
      <c r="B4" t="s">
        <v>23</v>
      </c>
      <c r="E4" t="s">
        <v>24</v>
      </c>
      <c r="H4">
        <v>1800</v>
      </c>
      <c r="I4">
        <v>0</v>
      </c>
    </row>
    <row r="5" spans="1:9" x14ac:dyDescent="0.25">
      <c r="A5">
        <v>5</v>
      </c>
      <c r="B5" t="s">
        <v>25</v>
      </c>
      <c r="E5" t="s">
        <v>26</v>
      </c>
      <c r="H5">
        <v>5654.25</v>
      </c>
      <c r="I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x14ac:dyDescent="0.25">
      <c r="A1" t="s">
        <v>15</v>
      </c>
      <c r="C1" t="s">
        <v>16</v>
      </c>
      <c r="E1" t="s">
        <v>17</v>
      </c>
      <c r="F1" t="s">
        <v>18</v>
      </c>
    </row>
    <row r="2" spans="1:6" x14ac:dyDescent="0.25">
      <c r="A2" t="s">
        <v>19</v>
      </c>
      <c r="C2" t="s">
        <v>20</v>
      </c>
      <c r="E2">
        <v>24174</v>
      </c>
      <c r="F2">
        <v>0</v>
      </c>
    </row>
    <row r="3" spans="1:6" x14ac:dyDescent="0.25">
      <c r="A3" t="s">
        <v>21</v>
      </c>
      <c r="C3" t="s">
        <v>22</v>
      </c>
      <c r="E3">
        <v>663</v>
      </c>
      <c r="F3">
        <v>0</v>
      </c>
    </row>
    <row r="4" spans="1:6" x14ac:dyDescent="0.25">
      <c r="A4" t="s">
        <v>23</v>
      </c>
      <c r="C4" t="s">
        <v>24</v>
      </c>
      <c r="E4">
        <v>1800</v>
      </c>
      <c r="F4">
        <v>0</v>
      </c>
    </row>
    <row r="5" spans="1:6" x14ac:dyDescent="0.25">
      <c r="A5" t="s">
        <v>25</v>
      </c>
      <c r="C5" t="s">
        <v>26</v>
      </c>
      <c r="E5">
        <v>5457</v>
      </c>
      <c r="F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sheetData>
    <row r="1" spans="1:9" x14ac:dyDescent="0.25">
      <c r="A1" t="s">
        <v>14</v>
      </c>
      <c r="B1" t="s">
        <v>15</v>
      </c>
      <c r="E1" t="s">
        <v>16</v>
      </c>
      <c r="H1" t="s">
        <v>17</v>
      </c>
      <c r="I1" t="s">
        <v>18</v>
      </c>
    </row>
    <row r="2" spans="1:9" x14ac:dyDescent="0.25">
      <c r="A2">
        <v>2</v>
      </c>
      <c r="B2" t="s">
        <v>27</v>
      </c>
      <c r="E2" t="s">
        <v>28</v>
      </c>
      <c r="H2">
        <v>24751.2</v>
      </c>
      <c r="I2">
        <v>0</v>
      </c>
    </row>
    <row r="3" spans="1:9" x14ac:dyDescent="0.25">
      <c r="A3">
        <v>3</v>
      </c>
      <c r="B3" t="s">
        <v>19</v>
      </c>
      <c r="E3" t="s">
        <v>20</v>
      </c>
      <c r="H3">
        <v>24411</v>
      </c>
      <c r="I3">
        <v>0</v>
      </c>
    </row>
    <row r="4" spans="1:9" x14ac:dyDescent="0.25">
      <c r="A4">
        <v>4</v>
      </c>
      <c r="B4" t="s">
        <v>21</v>
      </c>
      <c r="E4" t="s">
        <v>22</v>
      </c>
      <c r="H4">
        <v>669.5</v>
      </c>
      <c r="I4">
        <v>0</v>
      </c>
    </row>
    <row r="5" spans="1:9" x14ac:dyDescent="0.25">
      <c r="A5">
        <v>5</v>
      </c>
      <c r="B5" t="s">
        <v>23</v>
      </c>
      <c r="E5" t="s">
        <v>24</v>
      </c>
      <c r="H5">
        <v>1800</v>
      </c>
      <c r="I5">
        <v>0</v>
      </c>
    </row>
    <row r="6" spans="1:9" x14ac:dyDescent="0.25">
      <c r="A6">
        <v>6</v>
      </c>
      <c r="B6" t="s">
        <v>29</v>
      </c>
      <c r="E6" t="s">
        <v>30</v>
      </c>
      <c r="H6">
        <v>340.2</v>
      </c>
      <c r="I6">
        <v>0</v>
      </c>
    </row>
    <row r="7" spans="1:9" x14ac:dyDescent="0.25">
      <c r="A7">
        <v>7</v>
      </c>
      <c r="B7" t="s">
        <v>25</v>
      </c>
      <c r="E7" t="s">
        <v>26</v>
      </c>
      <c r="H7">
        <v>5510.5</v>
      </c>
      <c r="I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sheetData>
    <row r="1" spans="1:7" x14ac:dyDescent="0.25">
      <c r="A1" t="s">
        <v>31</v>
      </c>
      <c r="B1" t="s">
        <v>32</v>
      </c>
      <c r="E1" t="s">
        <v>33</v>
      </c>
      <c r="F1" t="s">
        <v>17</v>
      </c>
      <c r="G1" t="s">
        <v>18</v>
      </c>
    </row>
    <row r="10" spans="1:7" x14ac:dyDescent="0.25">
      <c r="A10" s="1">
        <v>46124</v>
      </c>
      <c r="B10" t="s">
        <v>34</v>
      </c>
      <c r="F10">
        <v>180.4</v>
      </c>
      <c r="G10">
        <v>0</v>
      </c>
    </row>
    <row r="11" spans="1:7" x14ac:dyDescent="0.25">
      <c r="A11" s="1">
        <v>46132</v>
      </c>
      <c r="B11" t="s">
        <v>35</v>
      </c>
      <c r="F11">
        <v>95.1</v>
      </c>
      <c r="G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sheetData>
    <row r="1" spans="3:15" x14ac:dyDescent="0.25">
      <c r="C1" t="s">
        <v>36</v>
      </c>
      <c r="G1" t="s">
        <v>37</v>
      </c>
      <c r="K1" t="s">
        <v>38</v>
      </c>
      <c r="O1" t="s">
        <v>39</v>
      </c>
    </row>
    <row r="2" spans="3:15" x14ac:dyDescent="0.25">
      <c r="C2" s="1">
        <v>46023</v>
      </c>
      <c r="G2" s="1">
        <v>46054</v>
      </c>
      <c r="K2" s="1">
        <v>46082</v>
      </c>
      <c r="O2" s="1">
        <v>46113</v>
      </c>
    </row>
    <row r="3" spans="3:17" x14ac:dyDescent="0.25">
      <c r="C3" t="s">
        <v>40</v>
      </c>
      <c r="D3" t="s">
        <v>41</v>
      </c>
      <c r="E3" t="s">
        <v>42</v>
      </c>
      <c r="G3" t="s">
        <v>40</v>
      </c>
      <c r="H3" t="s">
        <v>41</v>
      </c>
      <c r="I3" t="s">
        <v>42</v>
      </c>
      <c r="K3" t="s">
        <v>40</v>
      </c>
      <c r="L3" t="s">
        <v>41</v>
      </c>
      <c r="M3" t="s">
        <v>42</v>
      </c>
      <c r="O3" t="s">
        <v>40</v>
      </c>
      <c r="P3" t="s">
        <v>41</v>
      </c>
      <c r="Q3" t="s">
        <v>42</v>
      </c>
    </row>
    <row r="4" spans="1:1" x14ac:dyDescent="0.25">
      <c r="A4" t="s">
        <v>43</v>
      </c>
    </row>
    <row r="5" spans="1:17" x14ac:dyDescent="0.25">
      <c r="A5" t="s">
        <v>44</v>
      </c>
      <c r="C5">
        <f>SUMIFS('FOPAG TESTE'!$D$3:$D$100,'FOPAG TESTE'!$B$3:$B$100,C2)</f>
        <v>23700</v>
      </c>
      <c r="D5">
        <v>23700</v>
      </c>
      <c r="E5">
        <v>0</v>
      </c>
      <c r="G5">
        <f>SUMIFS('FOPAG TESTE'!$D$3:$D$100,'FOPAG TESTE'!$B$3:$B$100,G2)</f>
        <v>23937</v>
      </c>
      <c r="H5">
        <f>'BALANCETE 02.2026'!H2</f>
        <v>23937</v>
      </c>
      <c r="I5">
        <f>G5-H5</f>
        <v>0</v>
      </c>
      <c r="K5">
        <f>SUMIFS('FOPAG TESTE'!$D$3:$D$100,'FOPAG TESTE'!$B$3:$B$100,K2)</f>
        <v>24174</v>
      </c>
      <c r="L5">
        <f>'Balancete 03-2026'!Z2</f>
        <v>0</v>
      </c>
      <c r="M5">
        <f>K5-L5</f>
        <v>24174</v>
      </c>
      <c r="O5">
        <f>SUMIFS('FOPAG TESTE'!$D$3:$D$100,'FOPAG TESTE'!$B$3:$B$100,O2)</f>
        <v>24411</v>
      </c>
      <c r="P5">
        <f>'BALANCETE 04.2026'!H3</f>
        <v>24411</v>
      </c>
      <c r="Q5">
        <f>O5-P5</f>
        <v>0</v>
      </c>
    </row>
    <row r="6" spans="1:17" x14ac:dyDescent="0.25">
      <c r="A6" t="s">
        <v>45</v>
      </c>
      <c r="C6">
        <f>SUMIFS('FOPAG TESTE'!$E$3:$E$100,'FOPAG TESTE'!$B$3:$B$100,C2)</f>
        <v>650</v>
      </c>
      <c r="D6">
        <v>650</v>
      </c>
      <c r="E6">
        <v>0</v>
      </c>
      <c r="G6">
        <f>SUMIFS('FOPAG TESTE'!$E$3:$E$100,'FOPAG TESTE'!$B$3:$B$100,G2)</f>
        <v>656.5</v>
      </c>
      <c r="H6">
        <f>'BALANCETE 02.2026'!H3</f>
        <v>656.5</v>
      </c>
      <c r="I6">
        <f>G6-H6</f>
        <v>0</v>
      </c>
      <c r="K6">
        <f>SUMIFS('FOPAG TESTE'!$E$3:$E$100,'FOPAG TESTE'!$B$3:$B$100,K2)</f>
        <v>663</v>
      </c>
      <c r="L6">
        <f>'Balancete 03-2026'!Z3</f>
        <v>0</v>
      </c>
      <c r="M6">
        <f>K6-L6</f>
        <v>663</v>
      </c>
      <c r="O6">
        <f>SUMIFS('FOPAG TESTE'!$E$3:$E$100,'FOPAG TESTE'!$B$3:$B$100,O2)</f>
        <v>669.5</v>
      </c>
      <c r="P6">
        <f>'BALANCETE 04.2026'!H4</f>
        <v>669.5</v>
      </c>
      <c r="Q6">
        <f>O6-P6</f>
        <v>0</v>
      </c>
    </row>
    <row r="7" spans="1:17" x14ac:dyDescent="0.25">
      <c r="A7" t="s">
        <v>46</v>
      </c>
      <c r="C7">
        <f>SUMIFS('FOPAG TESTE'!$F$3:$F$100,'FOPAG TESTE'!$B$3:$B$100,C2)</f>
        <v>1800</v>
      </c>
      <c r="D7">
        <v>1800</v>
      </c>
      <c r="E7">
        <v>0</v>
      </c>
      <c r="G7">
        <f>SUMIFS('FOPAG TESTE'!$F$3:$F$100,'FOPAG TESTE'!$B$3:$B$100,G2)</f>
        <v>1800</v>
      </c>
      <c r="H7">
        <f>'BALANCETE 02.2026'!H4</f>
        <v>1800</v>
      </c>
      <c r="I7">
        <f>G7-H7</f>
        <v>0</v>
      </c>
      <c r="K7">
        <f>SUMIFS('FOPAG TESTE'!$F$3:$F$100,'FOPAG TESTE'!$B$3:$B$100,K2)</f>
        <v>1800</v>
      </c>
      <c r="L7">
        <f>'Balancete 03-2026'!Z4</f>
        <v>0</v>
      </c>
      <c r="M7">
        <f>K7-L7</f>
        <v>1800</v>
      </c>
      <c r="O7">
        <f>SUMIFS('FOPAG TESTE'!$F$3:$F$100,'FOPAG TESTE'!$B$3:$B$100,O2)</f>
        <v>1800</v>
      </c>
      <c r="P7">
        <f>'BALANCETE 04.2026'!H5</f>
        <v>1800</v>
      </c>
      <c r="Q7">
        <f>O7-P7</f>
        <v>0</v>
      </c>
    </row>
    <row r="8" spans="1:17" x14ac:dyDescent="0.25">
      <c r="A8" t="s">
        <v>47</v>
      </c>
      <c r="C8">
        <f>SUMIFS('FOPAG TESTE'!$G$3:$G$100,'FOPAG TESTE'!$B$3:$B$100,C2)</f>
        <v>5350</v>
      </c>
      <c r="D8">
        <v>5350</v>
      </c>
      <c r="E8">
        <v>0</v>
      </c>
      <c r="G8">
        <f>SUMIFS('FOPAG TESTE'!$G$3:$G$100,'FOPAG TESTE'!$B$3:$B$100,G2)</f>
        <v>5403.5</v>
      </c>
      <c r="H8">
        <f>'BALANCETE 02.2026'!H5</f>
        <v>5654.25</v>
      </c>
      <c r="I8">
        <f>G8-H8</f>
        <v>-250.75</v>
      </c>
      <c r="K8">
        <f>SUMIFS('FOPAG TESTE'!$G$3:$G$100,'FOPAG TESTE'!$B$3:$B$100,K2)</f>
        <v>5457</v>
      </c>
      <c r="L8">
        <f>'Balancete 03-2026'!Z5</f>
        <v>0</v>
      </c>
      <c r="M8">
        <f>K8-L8</f>
        <v>5457</v>
      </c>
      <c r="O8">
        <f>SUMIFS('FOPAG TESTE'!$G$3:$G$100,'FOPAG TESTE'!$B$3:$B$100,O2)</f>
        <v>5510.5</v>
      </c>
      <c r="P8">
        <f>'BALANCETE 04.2026'!H7+'RAZÃO 04.2026'!F10+'RAZÃO 04.2026'!F11</f>
        <v>5786</v>
      </c>
      <c r="Q8">
        <f>O8-P8</f>
        <v>-275.5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FOPAG TESTE</vt:lpstr>
      <vt:lpstr>BALANCETE 02.2026</vt:lpstr>
      <vt:lpstr>Balancete 03-2026</vt:lpstr>
      <vt:lpstr>BALANCETE 04.2026</vt:lpstr>
      <vt:lpstr>RAZÃO 04.2026</vt:lpstr>
      <vt:lpstr>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2026-07-12T20:11:24Z</dcterms:created>
  <dcterms:modified xsi:type="dcterms:W3CDTF">2026-07-12T20:11:24Z</dcterms:modified>
</cp:coreProperties>
</file>