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FOPAG TESTE" sheetId="1" r:id="rId1"/>
    <sheet name="BALANCETE 02.2026" sheetId="2" r:id="rId2"/>
    <sheet name="Balancete 03-2026" sheetId="3" r:id="rId3"/>
    <sheet name="BALANCETE 04.2026" sheetId="4" r:id="rId4"/>
    <sheet name="RAZÃO 04.2026" sheetId="5" r:id="rId5"/>
    <sheet name="CHECK" sheetId="6" r:id="rId6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15"/>
  <sheetViews>
    <sheetView workbookViewId="0"/>
  </sheetViews>
  <sheetData>
    <row r="1">
      <c r="A1" t="str">
        <v>planilha de teste — dados 100% fictícios</v>
      </c>
    </row>
    <row r="2">
      <c r="A2" t="str">
        <v>NOME</v>
      </c>
      <c r="B2" t="str">
        <v>MES</v>
      </c>
      <c r="C2" t="str">
        <v>Centro  de   Custo</v>
      </c>
      <c r="D2" t="str">
        <v>SALARIO</v>
      </c>
      <c r="E2" t="str">
        <v>HORAS EXTRAS</v>
      </c>
      <c r="F2" t="str">
        <v>BENEFICIOS</v>
      </c>
      <c r="G2" t="str">
        <v>ENCARGOS</v>
      </c>
      <c r="H2" t="str">
        <v>TOTAL PROVENTOS</v>
      </c>
    </row>
    <row r="3">
      <c r="A3" t="str">
        <v>ANA TESTE SILVA</v>
      </c>
      <c r="B3" s="1">
        <v>46023</v>
      </c>
      <c r="C3" t="str">
        <v>Comercial</v>
      </c>
      <c r="D3">
        <v>8000</v>
      </c>
      <c r="E3">
        <v>400</v>
      </c>
      <c r="F3">
        <v>600</v>
      </c>
      <c r="G3">
        <v>1800</v>
      </c>
      <c r="H3">
        <v>10800</v>
      </c>
    </row>
    <row r="4">
      <c r="A4" t="str">
        <v>BRUNO TESTE COSTA</v>
      </c>
      <c r="B4" s="1">
        <v>46023</v>
      </c>
      <c r="C4" t="str">
        <v>Operações</v>
      </c>
      <c r="D4">
        <v>6500</v>
      </c>
      <c r="E4">
        <v>250</v>
      </c>
      <c r="F4">
        <v>500</v>
      </c>
      <c r="G4">
        <v>1450</v>
      </c>
      <c r="H4">
        <v>8700</v>
      </c>
    </row>
    <row r="5">
      <c r="A5" t="str">
        <v>CARLA TESTE LIMA</v>
      </c>
      <c r="B5" s="1">
        <v>46023</v>
      </c>
      <c r="C5" t="str">
        <v>Comercial</v>
      </c>
      <c r="D5">
        <v>9200</v>
      </c>
      <c r="E5">
        <v>0</v>
      </c>
      <c r="F5">
        <v>700</v>
      </c>
      <c r="G5">
        <v>2100</v>
      </c>
      <c r="H5">
        <v>12000</v>
      </c>
    </row>
    <row r="6">
      <c r="A6" t="str">
        <v>ANA TESTE SILVA</v>
      </c>
      <c r="B6" s="1">
        <v>46054</v>
      </c>
      <c r="C6" t="str">
        <v>Comercial</v>
      </c>
      <c r="D6">
        <v>8080</v>
      </c>
      <c r="E6">
        <v>404</v>
      </c>
      <c r="F6">
        <v>600</v>
      </c>
      <c r="G6">
        <v>1818</v>
      </c>
      <c r="H6">
        <v>10902</v>
      </c>
    </row>
    <row r="7">
      <c r="A7" t="str">
        <v>BRUNO TESTE COSTA</v>
      </c>
      <c r="B7" s="1">
        <v>46054</v>
      </c>
      <c r="C7" t="str">
        <v>Operações</v>
      </c>
      <c r="D7">
        <v>6565</v>
      </c>
      <c r="E7">
        <v>252.5</v>
      </c>
      <c r="F7">
        <v>500</v>
      </c>
      <c r="G7">
        <v>1464.5</v>
      </c>
      <c r="H7">
        <v>8782</v>
      </c>
    </row>
    <row r="8">
      <c r="A8" t="str">
        <v>CARLA TESTE LIMA</v>
      </c>
      <c r="B8" s="1">
        <v>46054</v>
      </c>
      <c r="C8" t="str">
        <v>Comercial</v>
      </c>
      <c r="D8">
        <v>9292</v>
      </c>
      <c r="E8">
        <v>0</v>
      </c>
      <c r="F8">
        <v>700</v>
      </c>
      <c r="G8">
        <v>2121</v>
      </c>
      <c r="H8">
        <v>12113</v>
      </c>
    </row>
    <row r="9">
      <c r="A9" t="str">
        <v>ANA TESTE SILVA</v>
      </c>
      <c r="B9" s="1">
        <v>46082</v>
      </c>
      <c r="C9" t="str">
        <v>Comercial</v>
      </c>
      <c r="D9">
        <v>8160</v>
      </c>
      <c r="E9">
        <v>408</v>
      </c>
      <c r="F9">
        <v>600</v>
      </c>
      <c r="G9">
        <v>1836</v>
      </c>
      <c r="H9">
        <v>11004</v>
      </c>
    </row>
    <row r="10">
      <c r="A10" t="str">
        <v>BRUNO TESTE COSTA</v>
      </c>
      <c r="B10" s="1">
        <v>46082</v>
      </c>
      <c r="C10" t="str">
        <v>Operações</v>
      </c>
      <c r="D10">
        <v>6630</v>
      </c>
      <c r="E10">
        <v>255</v>
      </c>
      <c r="F10">
        <v>500</v>
      </c>
      <c r="G10">
        <v>1479</v>
      </c>
      <c r="H10">
        <v>8864</v>
      </c>
    </row>
    <row r="11">
      <c r="A11" t="str">
        <v>CARLA TESTE LIMA</v>
      </c>
      <c r="B11" s="1">
        <v>46082</v>
      </c>
      <c r="C11" t="str">
        <v>Comercial</v>
      </c>
      <c r="D11">
        <v>9384</v>
      </c>
      <c r="E11">
        <v>0</v>
      </c>
      <c r="F11">
        <v>700</v>
      </c>
      <c r="G11">
        <v>2142</v>
      </c>
      <c r="H11">
        <v>12226</v>
      </c>
    </row>
    <row r="12">
      <c r="A12" t="str">
        <v>ANA TESTE SILVA</v>
      </c>
      <c r="B12" s="1">
        <v>46113</v>
      </c>
      <c r="C12" t="str">
        <v>Comercial</v>
      </c>
      <c r="D12">
        <v>8240</v>
      </c>
      <c r="E12">
        <v>412</v>
      </c>
      <c r="F12">
        <v>600</v>
      </c>
      <c r="G12">
        <v>1854</v>
      </c>
      <c r="H12">
        <v>11106</v>
      </c>
    </row>
    <row r="13">
      <c r="A13" t="str">
        <v>BRUNO TESTE COSTA</v>
      </c>
      <c r="B13" s="1">
        <v>46113</v>
      </c>
      <c r="C13" t="str">
        <v>Operações</v>
      </c>
      <c r="D13">
        <v>6695</v>
      </c>
      <c r="E13">
        <v>257.5</v>
      </c>
      <c r="F13">
        <v>500</v>
      </c>
      <c r="G13">
        <v>1493.5</v>
      </c>
      <c r="H13">
        <v>8946</v>
      </c>
    </row>
    <row r="14">
      <c r="A14" t="str">
        <v>CARLA TESTE LIMA</v>
      </c>
      <c r="B14" s="1">
        <v>46113</v>
      </c>
      <c r="C14" t="str">
        <v>Comercial</v>
      </c>
      <c r="D14">
        <v>9476</v>
      </c>
      <c r="E14">
        <v>0</v>
      </c>
      <c r="F14">
        <v>700</v>
      </c>
      <c r="G14">
        <v>2163</v>
      </c>
      <c r="H14">
        <v>12339</v>
      </c>
    </row>
  </sheetData>
  <ignoredErrors>
    <ignoredError numberStoredAsText="1" sqref="A1:H1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I6"/>
  <sheetViews>
    <sheetView workbookViewId="0"/>
  </sheetViews>
  <sheetData>
    <row r="1">
      <c r="A1" t="str">
        <v>Código</v>
      </c>
      <c r="B1" t="str">
        <v>Classificação</v>
      </c>
      <c r="E1" t="str">
        <v>Nome</v>
      </c>
      <c r="H1" t="str">
        <v>Débito</v>
      </c>
      <c r="I1" t="str">
        <v>Crédito</v>
      </c>
    </row>
    <row r="2">
      <c r="A2">
        <v>2</v>
      </c>
      <c r="B2" t="str">
        <v>4.2.01.001.001</v>
      </c>
      <c r="E2" t="str">
        <v>SALARIO BASE TESTE</v>
      </c>
      <c r="H2">
        <v>23937</v>
      </c>
      <c r="I2">
        <v>0</v>
      </c>
    </row>
    <row r="3">
      <c r="A3">
        <v>3</v>
      </c>
      <c r="B3" t="str">
        <v>4.2.01.001.002</v>
      </c>
      <c r="E3" t="str">
        <v>HORAS EXTRAS TESTE</v>
      </c>
      <c r="H3">
        <v>656.5</v>
      </c>
      <c r="I3">
        <v>0</v>
      </c>
    </row>
    <row r="4">
      <c r="A4">
        <v>4</v>
      </c>
      <c r="B4" t="str">
        <v>4.2.01.001.003</v>
      </c>
      <c r="E4" t="str">
        <v>BENEFICIOS TESTE</v>
      </c>
      <c r="H4">
        <v>1800</v>
      </c>
      <c r="I4">
        <v>0</v>
      </c>
    </row>
    <row r="5">
      <c r="A5">
        <v>5</v>
      </c>
      <c r="B5" t="str">
        <v>4.2.01.004.001</v>
      </c>
      <c r="E5" t="str">
        <v>ENCARGOS TESTE</v>
      </c>
      <c r="H5">
        <v>5654.25</v>
      </c>
      <c r="I5">
        <v>0</v>
      </c>
    </row>
  </sheetData>
  <ignoredErrors>
    <ignoredError numberStoredAsText="1" sqref="A1:I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I6"/>
  <sheetViews>
    <sheetView workbookViewId="0"/>
  </sheetViews>
  <sheetData>
    <row r="1">
      <c r="A1" t="str">
        <v>Código</v>
      </c>
      <c r="B1" t="str">
        <v>Classificação</v>
      </c>
      <c r="E1" t="str">
        <v>Nome</v>
      </c>
      <c r="H1" t="str">
        <v>Débito</v>
      </c>
      <c r="I1" t="str">
        <v>Crédito</v>
      </c>
    </row>
    <row r="2">
      <c r="A2">
        <v>2</v>
      </c>
      <c r="B2" t="str">
        <v>4.2.01.001.001</v>
      </c>
      <c r="E2" t="str">
        <v>SALARIO BASE TESTE</v>
      </c>
      <c r="H2">
        <v>24174</v>
      </c>
      <c r="I2">
        <v>0</v>
      </c>
    </row>
    <row r="3">
      <c r="A3">
        <v>3</v>
      </c>
      <c r="B3" t="str">
        <v>4.2.01.001.002</v>
      </c>
      <c r="E3" t="str">
        <v>HORAS EXTRAS TESTE</v>
      </c>
      <c r="H3">
        <v>663</v>
      </c>
      <c r="I3">
        <v>0</v>
      </c>
    </row>
    <row r="4">
      <c r="A4">
        <v>4</v>
      </c>
      <c r="B4" t="str">
        <v>4.2.01.001.003</v>
      </c>
      <c r="E4" t="str">
        <v>BENEFICIOS TESTE</v>
      </c>
      <c r="H4">
        <v>1800</v>
      </c>
      <c r="I4">
        <v>0</v>
      </c>
    </row>
    <row r="5">
      <c r="A5">
        <v>5</v>
      </c>
      <c r="B5" t="str">
        <v>4.2.01.004.001</v>
      </c>
      <c r="E5" t="str">
        <v>ENCARGOS TESTE</v>
      </c>
      <c r="H5">
        <v>5457</v>
      </c>
      <c r="I5">
        <v>0</v>
      </c>
    </row>
  </sheetData>
  <ignoredErrors>
    <ignoredError numberStoredAsText="1" sqref="A1:I6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I8"/>
  <sheetViews>
    <sheetView workbookViewId="0"/>
  </sheetViews>
  <sheetData>
    <row r="1">
      <c r="A1" t="str">
        <v>Código</v>
      </c>
      <c r="B1" t="str">
        <v>Classificação</v>
      </c>
      <c r="E1" t="str">
        <v>Nome</v>
      </c>
      <c r="H1" t="str">
        <v>Débito</v>
      </c>
      <c r="I1" t="str">
        <v>Crédito</v>
      </c>
    </row>
    <row r="2">
      <c r="A2">
        <v>2</v>
      </c>
      <c r="B2" t="str">
        <v>4.2.01.001</v>
      </c>
      <c r="E2" t="str">
        <v>GRUPO SALARIAL TESTE (pai)</v>
      </c>
      <c r="H2">
        <v>24751.2</v>
      </c>
      <c r="I2">
        <v>0</v>
      </c>
    </row>
    <row r="3">
      <c r="A3">
        <v>3</v>
      </c>
      <c r="B3" t="str">
        <v>4.2.01.001.001</v>
      </c>
      <c r="E3" t="str">
        <v>SALARIO BASE TESTE</v>
      </c>
      <c r="H3">
        <v>24411</v>
      </c>
      <c r="I3">
        <v>0</v>
      </c>
    </row>
    <row r="4">
      <c r="A4">
        <v>4</v>
      </c>
      <c r="B4" t="str">
        <v>4.2.01.001.002</v>
      </c>
      <c r="E4" t="str">
        <v>HORAS EXTRAS TESTE</v>
      </c>
      <c r="H4">
        <v>669.5</v>
      </c>
      <c r="I4">
        <v>0</v>
      </c>
    </row>
    <row r="5">
      <c r="A5">
        <v>5</v>
      </c>
      <c r="B5" t="str">
        <v>4.2.01.001.003</v>
      </c>
      <c r="E5" t="str">
        <v>BENEFICIOS TESTE</v>
      </c>
      <c r="H5">
        <v>1800</v>
      </c>
      <c r="I5">
        <v>0</v>
      </c>
    </row>
    <row r="6">
      <c r="A6">
        <v>6</v>
      </c>
      <c r="B6" t="str">
        <v>4.2.01.001.009</v>
      </c>
      <c r="E6" t="str">
        <v>AUXILIO CRECHE TESTE (fantasma)</v>
      </c>
      <c r="H6">
        <v>340.2</v>
      </c>
      <c r="I6">
        <v>0</v>
      </c>
    </row>
    <row r="7">
      <c r="A7">
        <v>7</v>
      </c>
      <c r="B7" t="str">
        <v>4.2.01.004.001</v>
      </c>
      <c r="E7" t="str">
        <v>ENCARGOS TESTE</v>
      </c>
      <c r="H7">
        <v>5510.5</v>
      </c>
      <c r="I7">
        <v>0</v>
      </c>
    </row>
  </sheetData>
  <ignoredErrors>
    <ignoredError numberStoredAsText="1" sqref="A1:I8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H12"/>
  <sheetViews>
    <sheetView workbookViewId="0"/>
  </sheetViews>
  <sheetData>
    <row r="1">
      <c r="A1" t="str">
        <v>Data</v>
      </c>
      <c r="B1" t="str">
        <v>Histórico</v>
      </c>
      <c r="E1" t="str">
        <v>Contra</v>
      </c>
      <c r="F1" t="str">
        <v>Débito</v>
      </c>
      <c r="G1" t="str">
        <v>Crédito</v>
      </c>
    </row>
    <row r="10">
      <c r="A10" s="1">
        <v>46124</v>
      </c>
      <c r="B10" t="str">
        <v>Reclassificação teste 1</v>
      </c>
      <c r="F10">
        <v>180.4</v>
      </c>
      <c r="G10">
        <v>0</v>
      </c>
    </row>
    <row r="11">
      <c r="A11" s="1">
        <v>46132</v>
      </c>
      <c r="B11" t="str">
        <v>Reclassificação teste 2</v>
      </c>
      <c r="F11">
        <v>95.1</v>
      </c>
      <c r="G11">
        <v>0</v>
      </c>
    </row>
  </sheetData>
  <ignoredErrors>
    <ignoredError numberStoredAsText="1" sqref="A1:H12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T9"/>
  <sheetViews>
    <sheetView workbookViewId="0"/>
  </sheetViews>
  <sheetData>
    <row r="1">
      <c r="C1" t="str">
        <v>JANEIRO</v>
      </c>
      <c r="G1" t="str">
        <v>FEVEREIRO</v>
      </c>
      <c r="K1" t="str">
        <v>MARÇO</v>
      </c>
      <c r="O1" t="str">
        <v>ABRIL</v>
      </c>
    </row>
    <row r="2">
      <c r="C2" s="1">
        <v>46023</v>
      </c>
      <c r="G2" s="1">
        <v>46054</v>
      </c>
      <c r="K2" s="1">
        <v>46082</v>
      </c>
      <c r="O2" s="1">
        <v>46113</v>
      </c>
    </row>
    <row r="3">
      <c r="C3" t="str">
        <v>FOPAG</v>
      </c>
      <c r="D3" t="str">
        <v>CONTABIL</v>
      </c>
      <c r="E3" t="str">
        <v>DIFERENÇA</v>
      </c>
      <c r="G3" t="str">
        <v>FOPAG</v>
      </c>
      <c r="H3" t="str">
        <v>CONTABIL</v>
      </c>
      <c r="I3" t="str">
        <v>DIFERENÇA</v>
      </c>
      <c r="K3" t="str">
        <v>FOPAG</v>
      </c>
      <c r="L3" t="str">
        <v>CONTABIL</v>
      </c>
      <c r="M3" t="str">
        <v>DIFERENÇA</v>
      </c>
      <c r="O3" t="str">
        <v>FOPAG</v>
      </c>
      <c r="P3" t="str">
        <v>CONTABIL</v>
      </c>
      <c r="Q3" t="str">
        <v>DIFERENÇA</v>
      </c>
    </row>
    <row r="4">
      <c r="A4" t="str">
        <v>DESCRIÇÃO CONTA</v>
      </c>
    </row>
    <row r="5">
      <c r="A5" t="str">
        <v>SALARIO BASE TESTE (4.2.01.001.001)</v>
      </c>
      <c r="C5">
        <f>SUMIFS('FOPAG TESTE'!$D$3:$D$100,'FOPAG TESTE'!$B$3:$B$100,C2)</f>
        <v>23700</v>
      </c>
      <c r="D5">
        <v>23700</v>
      </c>
      <c r="E5">
        <v>0</v>
      </c>
      <c r="G5">
        <f>SUMIFS('FOPAG TESTE'!$D$3:$D$100,'FOPAG TESTE'!$B$3:$B$100,G2)</f>
        <v>23937</v>
      </c>
      <c r="H5">
        <f>'BALANCETE 02.2026'!H2</f>
        <v>23937</v>
      </c>
      <c r="I5">
        <f>=G5-H5</f>
        <v>0</v>
      </c>
      <c r="K5">
        <f>SUMIFS('FOPAG TESTE'!$D$3:$D$100,'FOPAG TESTE'!$B$3:$B$100,K2)</f>
        <v>24174</v>
      </c>
      <c r="L5">
        <f>'Balancete 03-2026'!Z2</f>
        <v>0</v>
      </c>
      <c r="M5">
        <f>=K5-L5</f>
        <v>24174</v>
      </c>
      <c r="O5">
        <f>SUMIFS('FOPAG TESTE'!$D$3:$D$100,'FOPAG TESTE'!$B$3:$B$100,O2)</f>
        <v>24411</v>
      </c>
      <c r="P5">
        <f>'BALANCETE 04.2026'!H3</f>
        <v>24411</v>
      </c>
      <c r="Q5">
        <f>=O5-P5</f>
        <v>0</v>
      </c>
    </row>
    <row r="6">
      <c r="A6" t="str">
        <v>HORAS EXTRAS TESTE (4.2.01.001.002)</v>
      </c>
      <c r="C6">
        <f>SUMIFS('FOPAG TESTE'!$E$3:$E$100,'FOPAG TESTE'!$B$3:$B$100,C2)</f>
        <v>650</v>
      </c>
      <c r="D6">
        <v>650</v>
      </c>
      <c r="E6">
        <v>0</v>
      </c>
      <c r="G6">
        <f>SUMIFS('FOPAG TESTE'!$E$3:$E$100,'FOPAG TESTE'!$B$3:$B$100,G2)</f>
        <v>656.5</v>
      </c>
      <c r="H6">
        <f>'BALANCETE 02.2026'!H3</f>
        <v>656.5</v>
      </c>
      <c r="I6">
        <f>=G6-H6</f>
        <v>0</v>
      </c>
      <c r="K6">
        <f>SUMIFS('FOPAG TESTE'!$E$3:$E$100,'FOPAG TESTE'!$B$3:$B$100,K2)</f>
        <v>663</v>
      </c>
      <c r="L6">
        <f>'Balancete 03-2026'!Z3</f>
        <v>0</v>
      </c>
      <c r="M6">
        <f>=K6-L6</f>
        <v>663</v>
      </c>
      <c r="O6">
        <f>SUMIFS('FOPAG TESTE'!$E$3:$E$100,'FOPAG TESTE'!$B$3:$B$100,O2)</f>
        <v>669.5</v>
      </c>
      <c r="P6">
        <f>'BALANCETE 04.2026'!H4</f>
        <v>669.5</v>
      </c>
      <c r="Q6">
        <f>=O6-P6</f>
        <v>0</v>
      </c>
    </row>
    <row r="7">
      <c r="A7" t="str">
        <v>BENEFICIOS TESTE (4.2.01.001.003)</v>
      </c>
      <c r="C7">
        <f>SUMIFS('FOPAG TESTE'!$F$3:$F$100,'FOPAG TESTE'!$B$3:$B$100,C2)</f>
        <v>1800</v>
      </c>
      <c r="D7">
        <v>1800</v>
      </c>
      <c r="E7">
        <v>0</v>
      </c>
      <c r="G7">
        <f>SUMIFS('FOPAG TESTE'!$F$3:$F$100,'FOPAG TESTE'!$B$3:$B$100,G2)</f>
        <v>1800</v>
      </c>
      <c r="H7">
        <f>'BALANCETE 02.2026'!H4</f>
        <v>1800</v>
      </c>
      <c r="I7">
        <f>=G7-H7</f>
        <v>0</v>
      </c>
      <c r="K7">
        <f>SUMIFS('FOPAG TESTE'!$F$3:$F$100,'FOPAG TESTE'!$B$3:$B$100,K2)</f>
        <v>1800</v>
      </c>
      <c r="L7">
        <f>'Balancete 03-2026'!Z4</f>
        <v>0</v>
      </c>
      <c r="M7">
        <f>=K7-L7</f>
        <v>1800</v>
      </c>
      <c r="O7">
        <f>SUMIFS('FOPAG TESTE'!$F$3:$F$100,'FOPAG TESTE'!$B$3:$B$100,O2)</f>
        <v>1800</v>
      </c>
      <c r="P7">
        <f>'BALANCETE 04.2026'!H5</f>
        <v>1800</v>
      </c>
      <c r="Q7">
        <f>=O7-P7</f>
        <v>0</v>
      </c>
    </row>
    <row r="8">
      <c r="A8" t="str">
        <v>ENCARGOS TESTE (4.2.01.004.001)</v>
      </c>
      <c r="C8">
        <f>SUMIFS('FOPAG TESTE'!$G$3:$G$100,'FOPAG TESTE'!$B$3:$B$100,C2)</f>
        <v>5350</v>
      </c>
      <c r="D8">
        <v>5350</v>
      </c>
      <c r="E8">
        <v>0</v>
      </c>
      <c r="G8">
        <f>SUMIFS('FOPAG TESTE'!$G$3:$G$100,'FOPAG TESTE'!$B$3:$B$100,G2)</f>
        <v>5403.5</v>
      </c>
      <c r="H8">
        <f>'BALANCETE 02.2026'!H5</f>
        <v>5654.25</v>
      </c>
      <c r="I8">
        <f>=G8-H8</f>
        <v>-250.75</v>
      </c>
      <c r="K8">
        <f>SUMIFS('FOPAG TESTE'!$G$3:$G$100,'FOPAG TESTE'!$B$3:$B$100,K2)</f>
        <v>5457</v>
      </c>
      <c r="L8">
        <f>'Balancete 03-2026'!Z5</f>
        <v>0</v>
      </c>
      <c r="M8">
        <f>=K8-L8</f>
        <v>5457</v>
      </c>
      <c r="O8">
        <f>SUMIFS('FOPAG TESTE'!$G$3:$G$100,'FOPAG TESTE'!$B$3:$B$100,O2)</f>
        <v>5510.5</v>
      </c>
      <c r="P8">
        <f>'BALANCETE 04.2026'!H7+'RAZÃO 04.2026'!F10+'RAZÃO 04.2026'!F11</f>
        <v>5786</v>
      </c>
      <c r="Q8">
        <f>=O8-P8</f>
        <v>-275.5</v>
      </c>
    </row>
  </sheetData>
  <ignoredErrors>
    <ignoredError numberStoredAsText="1" sqref="A1:T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FOPAG TESTE</vt:lpstr>
      <vt:lpstr>BALANCETE 02.2026</vt:lpstr>
      <vt:lpstr>Balancete 03-2026</vt:lpstr>
      <vt:lpstr>BALANCETE 04.2026</vt:lpstr>
      <vt:lpstr>RAZÃO 04.2026</vt:lpstr>
      <vt:lpstr>CHECK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