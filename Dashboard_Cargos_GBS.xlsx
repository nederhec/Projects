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sheetId="1" state="visible" r:id="rId1"/>
    <sheet name="KPIs Executivos" sheetId="2" state="visible" r:id="rId2"/>
    <sheet name="Distribuição por Grade" sheetId="3" state="visible" r:id="rId3"/>
    <sheet name="Análise por Família GBS" sheetId="4" state="visible" r:id="rId4"/>
    <sheet name="Análise por Empresa" sheetId="5" state="visible" r:id="rId5"/>
    <sheet name="Benchmarking Mercer" sheetId="6" state="visible" r:id="rId6"/>
    <sheet name="Pirâmide Hierárquica"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color rgb="00FFFFFF"/>
      <sz val="10"/>
    </font>
    <font>
      <color rgb="00000000"/>
      <sz val="9"/>
    </font>
    <font>
      <b val="1"/>
      <color rgb="00FFFFFF"/>
      <sz val="16"/>
    </font>
    <font>
      <b val="1"/>
      <color rgb="00FFFFFF"/>
      <sz val="12"/>
    </font>
    <font>
      <b val="1"/>
      <color rgb="001F3864"/>
      <sz val="14"/>
    </font>
    <font>
      <color rgb="00595959"/>
      <sz val="9"/>
    </font>
    <font>
      <b val="1"/>
      <color rgb="00FFFFFF"/>
      <sz val="14"/>
    </font>
    <font>
      <b val="1"/>
      <color rgb="00FFFFFF"/>
      <sz val="11"/>
    </font>
    <font>
      <color rgb="00000000"/>
      <sz val="10"/>
    </font>
    <font>
      <b val="1"/>
      <color rgb="001F3864"/>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C6EFCE"/>
      </patternFill>
    </fill>
    <fill>
      <patternFill patternType="solid">
        <fgColor rgb="00FFEB9C"/>
      </patternFill>
    </fill>
    <fill>
      <patternFill patternType="solid">
        <fgColor rgb="00DEEAF1"/>
      </patternFill>
    </fill>
    <fill>
      <patternFill patternType="solid">
        <fgColor rgb="00FFFFFF"/>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1" fillId="2"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164" fontId="6" fillId="5" borderId="0" applyAlignment="1" pivotButton="0" quotePrefix="0" xfId="0">
      <alignment horizontal="center" vertical="center"/>
    </xf>
    <xf numFmtId="164" fontId="6" fillId="6" borderId="0" applyAlignment="1" pivotButton="0" quotePrefix="0" xfId="0">
      <alignment horizontal="center" vertical="center"/>
    </xf>
    <xf numFmtId="164" fontId="6" fillId="4" borderId="0" applyAlignment="1" pivotButton="0" quotePrefix="0" xfId="0">
      <alignment horizontal="center" vertical="center"/>
    </xf>
    <xf numFmtId="0" fontId="7" fillId="2" borderId="0" applyAlignment="1" pivotButton="0" quotePrefix="0" xfId="0">
      <alignment horizontal="center" vertical="center"/>
    </xf>
    <xf numFmtId="0" fontId="8" fillId="3" borderId="1" applyAlignment="1" pivotButton="0" quotePrefix="0" xfId="0">
      <alignment horizontal="center" vertical="center"/>
    </xf>
    <xf numFmtId="0" fontId="9" fillId="7" borderId="1" applyAlignment="1" pivotButton="0" quotePrefix="0" xfId="0">
      <alignment horizontal="center" vertical="center"/>
    </xf>
    <xf numFmtId="164" fontId="9" fillId="7" borderId="1" applyAlignment="1" pivotButton="0" quotePrefix="0" xfId="0">
      <alignment horizontal="center" vertical="center"/>
    </xf>
    <xf numFmtId="0" fontId="9" fillId="8" borderId="1" applyAlignment="1" pivotButton="0" quotePrefix="0" xfId="0">
      <alignment horizontal="center" vertical="center"/>
    </xf>
    <xf numFmtId="164" fontId="9" fillId="8" borderId="1" applyAlignment="1" pivotButton="0" quotePrefix="0" xfId="0">
      <alignment horizontal="center" vertical="center"/>
    </xf>
    <xf numFmtId="164" fontId="1" fillId="2" borderId="1" applyAlignment="1" pivotButton="0" quotePrefix="0" xfId="0">
      <alignment horizontal="center" vertical="center"/>
    </xf>
    <xf numFmtId="0" fontId="9" fillId="9" borderId="1" applyAlignment="1" pivotButton="0" quotePrefix="0" xfId="0">
      <alignment horizontal="left" vertical="center"/>
    </xf>
    <xf numFmtId="0" fontId="9" fillId="9"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0" fontId="9" fillId="8" borderId="1" applyAlignment="1" pivotButton="0" quotePrefix="0" xfId="0">
      <alignment horizontal="left" vertical="center"/>
    </xf>
    <xf numFmtId="0" fontId="1" fillId="2" borderId="1" applyAlignment="1" pivotButton="0" quotePrefix="0" xfId="0">
      <alignment horizontal="left" vertical="center"/>
    </xf>
    <xf numFmtId="0" fontId="9" fillId="7" borderId="1" applyAlignment="1" pivotButton="0" quotePrefix="0" xfId="0">
      <alignment horizontal="left" vertical="center"/>
    </xf>
    <xf numFmtId="0" fontId="9" fillId="5" borderId="1" applyAlignment="1" pivotButton="0" quotePrefix="0" xfId="0">
      <alignment horizontal="left" vertical="center"/>
    </xf>
    <xf numFmtId="0" fontId="9" fillId="5" borderId="1" applyAlignment="1" pivotButton="0" quotePrefix="0" xfId="0">
      <alignment horizontal="center" vertical="center"/>
    </xf>
    <xf numFmtId="164" fontId="9" fillId="5" borderId="1" applyAlignment="1" pivotButton="0" quotePrefix="0" xfId="0">
      <alignment horizontal="center" vertical="center"/>
    </xf>
    <xf numFmtId="0" fontId="9" fillId="6" borderId="1" applyAlignment="1" pivotButton="0" quotePrefix="0" xfId="0">
      <alignment horizontal="left" vertical="center"/>
    </xf>
    <xf numFmtId="0" fontId="9" fillId="6" borderId="1" applyAlignment="1" pivotButton="0" quotePrefix="0" xfId="0">
      <alignment horizontal="center" vertical="center"/>
    </xf>
    <xf numFmtId="164" fontId="9" fillId="6"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Cargos Ativos por Grade</a:t>
            </a:r>
          </a:p>
        </rich>
      </tx>
    </title>
    <plotArea>
      <barChart>
        <barDir val="col"/>
        <grouping val="clustered"/>
        <ser>
          <idx val="0"/>
          <order val="0"/>
          <tx>
            <strRef>
              <f>'Distribuição por Grade'!B2</f>
            </strRef>
          </tx>
          <spPr>
            <a:solidFill>
              <a:srgbClr val="2E75B6"/>
            </a:solidFill>
            <a:ln>
              <a:prstDash val="solid"/>
            </a:ln>
          </spPr>
          <cat>
            <numRef>
              <f>'Distribuição por Grade'!$A$3:$A$13</f>
            </numRef>
          </cat>
          <val>
            <numRef>
              <f>'Distribuição por Grade'!$B$3:$B$13</f>
            </numRef>
          </val>
        </ser>
        <gapWidth val="150"/>
        <axId val="10"/>
        <axId val="100"/>
      </barChart>
      <catAx>
        <axId val="10"/>
        <scaling>
          <orientation val="minMax"/>
        </scaling>
        <axPos val="l"/>
        <title>
          <tx>
            <rich>
              <a:bodyPr/>
              <a:p>
                <a:pPr>
                  <a:defRPr/>
                </a:pPr>
                <a:r>
                  <a:t>Grade</a:t>
                </a:r>
              </a:p>
            </rich>
          </tx>
        </title>
        <majorTickMark val="none"/>
        <minorTickMark val="none"/>
        <crossAx val="100"/>
        <lblOffset val="100"/>
      </catAx>
      <valAx>
        <axId val="100"/>
        <scaling>
          <orientation val="minMax"/>
        </scaling>
        <axPos val="l"/>
        <majorGridlines/>
        <title>
          <tx>
            <rich>
              <a:bodyPr/>
              <a:p>
                <a:pPr>
                  <a:defRPr/>
                </a:pPr>
                <a:r>
                  <a:t>Quantidade</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Cargos Ativos por Grupo Hierárquico</a:t>
            </a:r>
          </a:p>
        </rich>
      </tx>
    </title>
    <plotArea>
      <barChart>
        <barDir val="bar"/>
        <grouping val="clustered"/>
        <ser>
          <idx val="0"/>
          <order val="0"/>
          <tx>
            <strRef>
              <f>'Pirâmide Hierárquica'!B2</f>
            </strRef>
          </tx>
          <spPr>
            <a:solidFill>
              <a:srgbClr val="2E75B6"/>
            </a:solidFill>
            <a:ln>
              <a:prstDash val="solid"/>
            </a:ln>
          </spPr>
          <cat>
            <numRef>
              <f>'Pirâmide Hierárquica'!$A$3:$A$10</f>
            </numRef>
          </cat>
          <val>
            <numRef>
              <f>'Pirâmide Hierárquica'!$B$3:$B$10</f>
            </numRef>
          </val>
        </ser>
        <gapWidth val="150"/>
        <axId val="10"/>
        <axId val="100"/>
      </barChart>
      <catAx>
        <axId val="10"/>
        <scaling>
          <orientation val="minMax"/>
        </scaling>
        <axPos val="l"/>
        <title>
          <tx>
            <rich>
              <a:bodyPr/>
              <a:p>
                <a:pPr>
                  <a:defRPr/>
                </a:pPr>
                <a:r>
                  <a:t>Quantidade</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U195"/>
  <sheetViews>
    <sheetView workbookViewId="0">
      <selection activeCell="A1" sqref="A1"/>
    </sheetView>
  </sheetViews>
  <sheetFormatPr baseColWidth="8" defaultRowHeight="15"/>
  <cols>
    <col width="17" customWidth="1" min="1" max="1"/>
    <col width="15" customWidth="1" min="2" max="2"/>
    <col width="14" customWidth="1" min="3" max="3"/>
    <col width="39" customWidth="1" min="4" max="4"/>
    <col width="8" customWidth="1" min="5" max="5"/>
    <col width="10" customWidth="1" min="6" max="6"/>
    <col width="22" customWidth="1" min="7" max="7"/>
    <col width="29" customWidth="1" min="8" max="8"/>
    <col width="30" customWidth="1" min="9" max="9"/>
    <col width="19" customWidth="1" min="10" max="10"/>
    <col width="25" customWidth="1" min="11" max="11"/>
    <col width="8" customWidth="1" min="12" max="12"/>
    <col width="29" customWidth="1" min="13" max="13"/>
    <col width="18" customWidth="1" min="14" max="14"/>
    <col width="29" customWidth="1" min="15" max="15"/>
    <col width="15" customWidth="1" min="16" max="16"/>
    <col width="15" customWidth="1" min="17" max="17"/>
    <col width="21" customWidth="1" min="18" max="18"/>
    <col width="40" customWidth="1" min="19" max="19"/>
    <col width="18" customWidth="1" min="20" max="20"/>
    <col width="18" customWidth="1" min="21" max="21"/>
  </cols>
  <sheetData>
    <row r="1">
      <c r="A1" s="1" t="inlineStr">
        <is>
          <t>EMPRESA</t>
        </is>
      </c>
      <c r="B1" s="1" t="inlineStr">
        <is>
          <t>EMPRESA (SAP)</t>
        </is>
      </c>
      <c r="C1" s="1" t="inlineStr">
        <is>
          <t>CÓDIGO CARGO</t>
        </is>
      </c>
      <c r="D1" s="1" t="inlineStr">
        <is>
          <t>CARGO</t>
        </is>
      </c>
      <c r="E1" s="1" t="inlineStr">
        <is>
          <t>GRADE</t>
        </is>
      </c>
      <c r="F1" s="1" t="inlineStr">
        <is>
          <t>SITUAÇÃO</t>
        </is>
      </c>
      <c r="G1" s="1" t="inlineStr">
        <is>
          <t>GRUPO</t>
        </is>
      </c>
      <c r="H1" s="1" t="inlineStr">
        <is>
          <t>FAMÍLIA GBS</t>
        </is>
      </c>
      <c r="I1" s="1" t="inlineStr">
        <is>
          <t>SUB FAMÍLIA</t>
        </is>
      </c>
      <c r="J1" s="1" t="inlineStr">
        <is>
          <t>GRUPO HIERARQUICO</t>
        </is>
      </c>
      <c r="K1" s="1" t="inlineStr">
        <is>
          <t>NÍVEL</t>
        </is>
      </c>
      <c r="L1" s="1" t="inlineStr">
        <is>
          <t>CBO</t>
        </is>
      </c>
      <c r="M1" s="1" t="inlineStr">
        <is>
          <t>REGRA CONTROLE JORNADA</t>
        </is>
      </c>
      <c r="N1" s="1" t="inlineStr">
        <is>
          <t>CONTROLE JORNADA</t>
        </is>
      </c>
      <c r="O1" s="1" t="inlineStr">
        <is>
          <t>COTA APRENDIZ</t>
        </is>
      </c>
      <c r="P1" s="1" t="inlineStr">
        <is>
          <t>TIPO CONTRATO</t>
        </is>
      </c>
      <c r="Q1" s="1" t="inlineStr">
        <is>
          <t>SINDICATO</t>
        </is>
      </c>
      <c r="R1" s="1" t="inlineStr">
        <is>
          <t>MERCADO SELECIONADO</t>
        </is>
      </c>
      <c r="S1" s="1" t="inlineStr">
        <is>
          <t>DESCRIÇÃO SUMÁRIA</t>
        </is>
      </c>
      <c r="T1" s="1" t="inlineStr">
        <is>
          <t>Cod. Mercer 2025</t>
        </is>
      </c>
      <c r="U1" s="1" t="inlineStr">
        <is>
          <t>Cod. Mercer 2026</t>
        </is>
      </c>
    </row>
    <row r="2">
      <c r="A2" s="2" t="inlineStr">
        <is>
          <t>HOLDING</t>
        </is>
      </c>
      <c r="B2" s="2" t="inlineStr">
        <is>
          <t>HOLDING</t>
        </is>
      </c>
      <c r="C2" s="2" t="n">
        <v>6110395</v>
      </c>
      <c r="D2" s="2" t="inlineStr">
        <is>
          <t>GERENTE ADMINISTRACAO PATRIMONIAL</t>
        </is>
      </c>
      <c r="E2" s="2" t="n">
        <v>11</v>
      </c>
      <c r="F2" s="2" t="inlineStr">
        <is>
          <t>ATIVO</t>
        </is>
      </c>
      <c r="G2" s="2" t="inlineStr">
        <is>
          <t>Corporativo</t>
        </is>
      </c>
      <c r="H2" s="2" t="inlineStr">
        <is>
          <t>Administração &amp; Serviços</t>
        </is>
      </c>
      <c r="I2" s="2" t="inlineStr">
        <is>
          <t>Facilities e Serviços Gerais</t>
        </is>
      </c>
      <c r="J2" s="2" t="inlineStr">
        <is>
          <t>GA</t>
        </is>
      </c>
      <c r="K2" s="2" t="inlineStr">
        <is>
          <t>GA</t>
        </is>
      </c>
      <c r="L2" s="2" t="n">
        <v>142705</v>
      </c>
      <c r="M2" s="2" t="inlineStr">
        <is>
          <t>Avaliação de tempos teórica</t>
        </is>
      </c>
      <c r="N2" s="2" t="inlineStr">
        <is>
          <t>Não elegível</t>
        </is>
      </c>
      <c r="O2" s="2" t="inlineStr">
        <is>
          <t>NAO ELEGIVEL COTA  APRENDIZ</t>
        </is>
      </c>
      <c r="P2" s="2" t="inlineStr">
        <is>
          <t>CLT</t>
        </is>
      </c>
      <c r="Q2" s="2" t="inlineStr">
        <is>
          <t>Preponderante</t>
        </is>
      </c>
      <c r="R2" s="2" t="inlineStr">
        <is>
          <t>Elementares</t>
        </is>
      </c>
      <c r="S2" s="2" t="inlineStr">
        <is>
          <t>Gerenciar os processos administrativos e tecnicos da area, para que sejam conduzidos, bem como zelar para que estejam em consonancia com os objetivos tracados, alinhando acoes a serem adotadas para o melhor desempenho das responsabilidades da area.</t>
        </is>
      </c>
      <c r="T2" s="2" t="inlineStr">
        <is>
          <t>IE.26.002.M30</t>
        </is>
      </c>
      <c r="U2" s="2" t="inlineStr">
        <is>
          <t>IE.26.002.M30</t>
        </is>
      </c>
    </row>
    <row r="3">
      <c r="A3" s="2" t="inlineStr">
        <is>
          <t>HOLDING</t>
        </is>
      </c>
      <c r="B3" s="2" t="inlineStr">
        <is>
          <t>HOLDING</t>
        </is>
      </c>
      <c r="C3" s="2" t="n">
        <v>6109192</v>
      </c>
      <c r="D3" s="2" t="inlineStr">
        <is>
          <t>SUPERVISOR ADMINISTRACAO PATRIMONIAL</t>
        </is>
      </c>
      <c r="E3" s="2" t="n">
        <v>9</v>
      </c>
      <c r="F3" s="2" t="inlineStr">
        <is>
          <t>ATIVO</t>
        </is>
      </c>
      <c r="G3" s="2" t="inlineStr">
        <is>
          <t>Corporativo</t>
        </is>
      </c>
      <c r="H3" s="2" t="inlineStr">
        <is>
          <t>Administração &amp; Serviços</t>
        </is>
      </c>
      <c r="I3" s="2" t="inlineStr">
        <is>
          <t>Facilities e Serviços Gerais</t>
        </is>
      </c>
      <c r="J3" s="2" t="inlineStr">
        <is>
          <t>Supervisor</t>
        </is>
      </c>
      <c r="K3" s="2" t="inlineStr">
        <is>
          <t>Supervisor Matriz</t>
        </is>
      </c>
      <c r="L3" s="2" t="n">
        <v>410220</v>
      </c>
      <c r="M3" s="2" t="inlineStr">
        <is>
          <t>Avaliação de tempos real</t>
        </is>
      </c>
      <c r="N3" s="2" t="inlineStr">
        <is>
          <t>Elegível</t>
        </is>
      </c>
      <c r="O3" s="2" t="inlineStr">
        <is>
          <t>NAO ELEGIVEL COTA  APRENDIZ</t>
        </is>
      </c>
      <c r="P3" s="2" t="inlineStr">
        <is>
          <t>CLT</t>
        </is>
      </c>
      <c r="Q3" s="2" t="inlineStr">
        <is>
          <t>Preponderante</t>
        </is>
      </c>
      <c r="R3" s="2" t="inlineStr">
        <is>
          <t>Elementares</t>
        </is>
      </c>
      <c r="S3" s="2" t="inlineStr">
        <is>
          <t>Conduzir os processos administrativos e tecnicos da area, para que sejam conduzidos com organizacao, bem como zelar para que estejam em consonancia com os objetivos tracados, alinhando acoes a serem adotadas para o melhor desempenho das responsabilidades da area.</t>
        </is>
      </c>
      <c r="T3" s="2" t="inlineStr">
        <is>
          <t>IE.26.002.M10</t>
        </is>
      </c>
      <c r="U3" s="2" t="inlineStr">
        <is>
          <t>IE.26.002.M10</t>
        </is>
      </c>
    </row>
    <row r="4">
      <c r="A4" s="2" t="inlineStr">
        <is>
          <t>HOLDING</t>
        </is>
      </c>
      <c r="B4" s="2" t="inlineStr">
        <is>
          <t>HOLDING</t>
        </is>
      </c>
      <c r="C4" s="2" t="n">
        <v>6109193</v>
      </c>
      <c r="D4" s="2" t="inlineStr">
        <is>
          <t>ANALISTA ADMINISTRACAO PATRIMONIAL SR</t>
        </is>
      </c>
      <c r="E4" s="2" t="n">
        <v>8</v>
      </c>
      <c r="F4" s="2" t="inlineStr">
        <is>
          <t>ATIVO</t>
        </is>
      </c>
      <c r="G4" s="2" t="inlineStr">
        <is>
          <t>Corporativo</t>
        </is>
      </c>
      <c r="H4" s="2" t="inlineStr">
        <is>
          <t>Administração &amp; Serviços</t>
        </is>
      </c>
      <c r="I4" s="2" t="inlineStr">
        <is>
          <t>Facilities e Serviços Gerais</t>
        </is>
      </c>
      <c r="J4" s="2" t="inlineStr">
        <is>
          <t>Analista</t>
        </is>
      </c>
      <c r="K4" s="2" t="inlineStr">
        <is>
          <t>Analista Sr</t>
        </is>
      </c>
      <c r="L4" s="2" t="n">
        <v>142330</v>
      </c>
      <c r="M4" s="2" t="inlineStr">
        <is>
          <t>Avaliação de tempos real</t>
        </is>
      </c>
      <c r="N4" s="2" t="inlineStr">
        <is>
          <t>Elegível</t>
        </is>
      </c>
      <c r="O4" s="2" t="inlineStr">
        <is>
          <t>NAO ELEGIVEL COTA  APRENDIZ</t>
        </is>
      </c>
      <c r="P4" s="2" t="inlineStr">
        <is>
          <t>CLT</t>
        </is>
      </c>
      <c r="Q4" s="2" t="inlineStr">
        <is>
          <t>Preponderante</t>
        </is>
      </c>
      <c r="R4" s="2" t="inlineStr">
        <is>
          <t>Elementares</t>
        </is>
      </c>
      <c r="S4" s="2" t="inlineStr">
        <is>
          <t>Garantir que os processos administrativos da area sejam conduzidos com organizacao, a fim de zelar que estejam em consonancia com os objetivos da area e que possam atender as necessidades dos processos conduzidos pela equipe de profissionais tecnicos.</t>
        </is>
      </c>
      <c r="T4" s="2" t="inlineStr">
        <is>
          <t>IE.26.002.P30</t>
        </is>
      </c>
      <c r="U4" s="2" t="inlineStr">
        <is>
          <t>IE.26.002.P30</t>
        </is>
      </c>
    </row>
    <row r="5">
      <c r="A5" s="2" t="inlineStr">
        <is>
          <t>HOLDING</t>
        </is>
      </c>
      <c r="B5" s="2" t="inlineStr">
        <is>
          <t>HOLDING</t>
        </is>
      </c>
      <c r="C5" s="2" t="n">
        <v>6109194</v>
      </c>
      <c r="D5" s="2" t="inlineStr">
        <is>
          <t>ANALISTA ADMINISTRACAO PATRIMONIAL PL</t>
        </is>
      </c>
      <c r="E5" s="2" t="n">
        <v>6</v>
      </c>
      <c r="F5" s="2" t="inlineStr">
        <is>
          <t>ATIVO</t>
        </is>
      </c>
      <c r="G5" s="2" t="inlineStr">
        <is>
          <t>Corporativo</t>
        </is>
      </c>
      <c r="H5" s="2" t="inlineStr">
        <is>
          <t>Administração &amp; Serviços</t>
        </is>
      </c>
      <c r="I5" s="2" t="inlineStr">
        <is>
          <t>Facilities e Serviços Gerais</t>
        </is>
      </c>
      <c r="J5" s="2" t="inlineStr">
        <is>
          <t>Analista</t>
        </is>
      </c>
      <c r="K5" s="2" t="inlineStr">
        <is>
          <t>Analista Pl</t>
        </is>
      </c>
      <c r="L5" s="2" t="n">
        <v>142330</v>
      </c>
      <c r="M5" s="2" t="inlineStr">
        <is>
          <t>Avaliação de tempos real</t>
        </is>
      </c>
      <c r="N5" s="2" t="inlineStr">
        <is>
          <t>Elegível</t>
        </is>
      </c>
      <c r="O5" s="2" t="inlineStr">
        <is>
          <t>NAO ELEGIVEL COTA  APRENDIZ</t>
        </is>
      </c>
      <c r="P5" s="2" t="inlineStr">
        <is>
          <t>CLT</t>
        </is>
      </c>
      <c r="Q5" s="2" t="inlineStr">
        <is>
          <t>Preponderante</t>
        </is>
      </c>
      <c r="R5" s="2" t="inlineStr">
        <is>
          <t>Elementares</t>
        </is>
      </c>
      <c r="S5" s="2" t="inlineStr">
        <is>
          <t>Garantir que os processos administrativos da area sejam conduzidos com organizacao, a fim de zelar que estejam em consonancia com os objetivos da area e que possam atender as necessidades dos processos conduzidos pela equipe de profissionais tecnicos.</t>
        </is>
      </c>
      <c r="T5" s="2" t="inlineStr">
        <is>
          <t>IE.26.002.P20</t>
        </is>
      </c>
      <c r="U5" s="2" t="inlineStr">
        <is>
          <t>IE.26.002.P20</t>
        </is>
      </c>
    </row>
    <row r="6">
      <c r="A6" s="2" t="inlineStr">
        <is>
          <t>HOLDING</t>
        </is>
      </c>
      <c r="B6" s="2" t="inlineStr">
        <is>
          <t>HOLDING</t>
        </is>
      </c>
      <c r="C6" s="2" t="n">
        <v>6109195</v>
      </c>
      <c r="D6" s="2" t="inlineStr">
        <is>
          <t>ANALISTA ADMINISTRACAO PATRIMONIAL JR</t>
        </is>
      </c>
      <c r="E6" s="2" t="n">
        <v>5</v>
      </c>
      <c r="F6" s="2" t="inlineStr">
        <is>
          <t>ATIVO</t>
        </is>
      </c>
      <c r="G6" s="2" t="inlineStr">
        <is>
          <t>Corporativo</t>
        </is>
      </c>
      <c r="H6" s="2" t="inlineStr">
        <is>
          <t>Administração &amp; Serviços</t>
        </is>
      </c>
      <c r="I6" s="2" t="inlineStr">
        <is>
          <t>Facilities e Serviços Gerais</t>
        </is>
      </c>
      <c r="J6" s="2" t="inlineStr">
        <is>
          <t>Analista</t>
        </is>
      </c>
      <c r="K6" s="2" t="inlineStr">
        <is>
          <t>Analista Jr</t>
        </is>
      </c>
      <c r="L6" s="2" t="n">
        <v>142330</v>
      </c>
      <c r="M6" s="2" t="inlineStr">
        <is>
          <t>Avaliação de tempos real</t>
        </is>
      </c>
      <c r="N6" s="2" t="inlineStr">
        <is>
          <t>Elegível</t>
        </is>
      </c>
      <c r="O6" s="2" t="inlineStr">
        <is>
          <t>NAO ELEGIVEL COTA  APRENDIZ</t>
        </is>
      </c>
      <c r="P6" s="2" t="inlineStr">
        <is>
          <t>CLT</t>
        </is>
      </c>
      <c r="Q6" s="2" t="inlineStr">
        <is>
          <t>Preponderante</t>
        </is>
      </c>
      <c r="R6" s="2" t="inlineStr">
        <is>
          <t>Elementares</t>
        </is>
      </c>
      <c r="S6" s="2" t="inlineStr">
        <is>
          <t>Garantir que os processos administrativos da area sejam conduzidos com organizacao, a fim de zelar que estejam em consonancia com os objetivos da area e que possam atender as necessidades dos processos conduzidos pela equipe de profissionais tecnicos.</t>
        </is>
      </c>
      <c r="T6" s="2" t="inlineStr">
        <is>
          <t>IE.26.002.P10</t>
        </is>
      </c>
      <c r="U6" s="2" t="inlineStr">
        <is>
          <t>IE.26.002.P10</t>
        </is>
      </c>
    </row>
    <row r="7">
      <c r="A7" s="2" t="inlineStr">
        <is>
          <t>HOLDING</t>
        </is>
      </c>
      <c r="B7" s="2" t="inlineStr">
        <is>
          <t>HOLDING</t>
        </is>
      </c>
      <c r="C7" s="2" t="n">
        <v>6110394</v>
      </c>
      <c r="D7" s="2" t="inlineStr">
        <is>
          <t>ANALISTA ASSISTENTE ADM PATRIMONIAL</t>
        </is>
      </c>
      <c r="E7" s="2" t="n">
        <v>4</v>
      </c>
      <c r="F7" s="2" t="inlineStr">
        <is>
          <t>ATIVO</t>
        </is>
      </c>
      <c r="G7" s="2" t="inlineStr">
        <is>
          <t>Corporativo</t>
        </is>
      </c>
      <c r="H7" s="2" t="inlineStr">
        <is>
          <t>Administração &amp; Serviços</t>
        </is>
      </c>
      <c r="I7" s="2" t="inlineStr">
        <is>
          <t>Facilities e Serviços Gerais</t>
        </is>
      </c>
      <c r="J7" s="2" t="inlineStr">
        <is>
          <t>Assistente</t>
        </is>
      </c>
      <c r="K7" s="2" t="inlineStr">
        <is>
          <t>Assistente</t>
        </is>
      </c>
      <c r="L7" s="2" t="n">
        <v>142330</v>
      </c>
      <c r="M7" s="2" t="inlineStr">
        <is>
          <t>Avaliação de tempos real</t>
        </is>
      </c>
      <c r="N7" s="2" t="inlineStr">
        <is>
          <t>Elegível</t>
        </is>
      </c>
      <c r="O7" s="2" t="inlineStr">
        <is>
          <t>NAO ELEGIVEL COTA  APRENDIZ</t>
        </is>
      </c>
      <c r="P7" s="2" t="inlineStr">
        <is>
          <t>CLT</t>
        </is>
      </c>
      <c r="Q7" s="2" t="inlineStr">
        <is>
          <t>Preponderante</t>
        </is>
      </c>
      <c r="R7" s="2" t="inlineStr">
        <is>
          <t>Elementares</t>
        </is>
      </c>
      <c r="S7" s="2" t="inlineStr">
        <is>
          <t>Garantir que os processos administrativos da area sejam conduzidos com organizacao, a fim de zelar que estejam em consonancia com os objetivos da area e que possam atender as necessidades dos processos conduzidos pela equipe de profissionais tecnicos.</t>
        </is>
      </c>
      <c r="T7" s="2" t="inlineStr">
        <is>
          <t>IE.26.002.S20</t>
        </is>
      </c>
      <c r="U7" s="2" t="inlineStr">
        <is>
          <t>IE.26.002.S20</t>
        </is>
      </c>
    </row>
    <row r="8">
      <c r="A8" s="2" t="inlineStr">
        <is>
          <t>HOLDING</t>
        </is>
      </c>
      <c r="B8" s="2" t="inlineStr">
        <is>
          <t>HOLDING</t>
        </is>
      </c>
      <c r="C8" s="2" t="n">
        <v>6110337</v>
      </c>
      <c r="D8" s="2" t="inlineStr">
        <is>
          <t>GERENTE DEPARTAMENTO SECRETARIA GERAL</t>
        </is>
      </c>
      <c r="E8" s="2" t="n">
        <v>13</v>
      </c>
      <c r="F8" s="2" t="inlineStr">
        <is>
          <t>INATIVO</t>
        </is>
      </c>
      <c r="G8" s="2" t="inlineStr">
        <is>
          <t>Corporativo</t>
        </is>
      </c>
      <c r="H8" s="2" t="inlineStr">
        <is>
          <t>Administração &amp; Serviços</t>
        </is>
      </c>
      <c r="I8" s="2" t="inlineStr">
        <is>
          <t>Secretaria</t>
        </is>
      </c>
      <c r="J8" s="2" t="inlineStr">
        <is>
          <t>GS</t>
        </is>
      </c>
      <c r="K8" s="2" t="inlineStr">
        <is>
          <t>GS</t>
        </is>
      </c>
      <c r="L8" s="2" t="n">
        <v>142105</v>
      </c>
      <c r="M8" s="2" t="inlineStr">
        <is>
          <t>Avaliação de tempos teórica</t>
        </is>
      </c>
      <c r="N8" s="2" t="inlineStr">
        <is>
          <t>Não elegível</t>
        </is>
      </c>
      <c r="O8" s="2" t="inlineStr">
        <is>
          <t>NAO ELEGIVEL COTA  APRENDIZ</t>
        </is>
      </c>
      <c r="P8" s="2" t="inlineStr">
        <is>
          <t>CLT</t>
        </is>
      </c>
      <c r="Q8" s="2" t="inlineStr">
        <is>
          <t>Preponderante</t>
        </is>
      </c>
      <c r="R8" s="2" t="inlineStr">
        <is>
          <t>Elementares</t>
        </is>
      </c>
      <c r="S8" s="2" t="inlineStr">
        <is>
          <t>Liderar as areas sob sua responsabilidade, definindo estrategias de atuacao, missao, visao e objetivos para disseminacao junto ao quadro de colaboradores, de modo a assegurar a concretizacao e maximizacao dos resultados, por meio do relacionamento entre o Banco e clientes internos/externos, garantindo a correta conducao dos negocios, operacoes e processos do departamento, com objetivo de promover o crescimento continuo da Organizacao em consonancia as normas vigentes das entidades regulamentadoras.</t>
        </is>
      </c>
      <c r="T8" s="2" t="inlineStr">
        <is>
          <t>IE.26.005.M30</t>
        </is>
      </c>
      <c r="U8" s="2" t="inlineStr">
        <is>
          <t>IE.26.005.M30</t>
        </is>
      </c>
    </row>
    <row r="9">
      <c r="A9" s="2" t="inlineStr">
        <is>
          <t>HOLDING</t>
        </is>
      </c>
      <c r="B9" s="2" t="inlineStr">
        <is>
          <t>HOLDING</t>
        </is>
      </c>
      <c r="C9" s="2" t="n">
        <v>6110338</v>
      </c>
      <c r="D9" s="2" t="inlineStr">
        <is>
          <t>GERENTE SUPORTE EXECUTIVO</t>
        </is>
      </c>
      <c r="E9" s="2" t="n">
        <v>11</v>
      </c>
      <c r="F9" s="2" t="inlineStr">
        <is>
          <t>ATIVO</t>
        </is>
      </c>
      <c r="G9" s="2" t="inlineStr">
        <is>
          <t>Corporativo</t>
        </is>
      </c>
      <c r="H9" s="2" t="inlineStr">
        <is>
          <t>Administração &amp; Serviços</t>
        </is>
      </c>
      <c r="I9" s="2" t="inlineStr">
        <is>
          <t>Secretaria</t>
        </is>
      </c>
      <c r="J9" s="2" t="inlineStr">
        <is>
          <t>GA</t>
        </is>
      </c>
      <c r="K9" s="2" t="inlineStr">
        <is>
          <t>GA</t>
        </is>
      </c>
      <c r="L9" s="2" t="n">
        <v>142105</v>
      </c>
      <c r="M9" s="2" t="inlineStr">
        <is>
          <t>Avaliação de tempos teórica</t>
        </is>
      </c>
      <c r="N9" s="2" t="inlineStr">
        <is>
          <t>Não elegível</t>
        </is>
      </c>
      <c r="O9" s="2" t="inlineStr">
        <is>
          <t>NAO ELEGIVEL COTA  APRENDIZ</t>
        </is>
      </c>
      <c r="P9" s="2" t="inlineStr">
        <is>
          <t>CLT</t>
        </is>
      </c>
      <c r="Q9" s="2" t="inlineStr">
        <is>
          <t>Preponderante</t>
        </is>
      </c>
      <c r="R9" s="2" t="inlineStr">
        <is>
          <t>Elementares</t>
        </is>
      </c>
      <c r="S9" s="2" t="inlineStr">
        <is>
          <t>Gerenciar o apoio pela equipe a Diretoria Executiva no que tange a atividades de secretaria,como, agendamento de compromissos, atendimentos telefonico e afins.</t>
        </is>
      </c>
      <c r="T9" s="2" t="inlineStr">
        <is>
          <t>IE.26.005.M20</t>
        </is>
      </c>
      <c r="U9" s="2" t="inlineStr">
        <is>
          <t>IE.26.005.M20</t>
        </is>
      </c>
    </row>
    <row r="10">
      <c r="A10" s="2" t="inlineStr">
        <is>
          <t>HOLDING</t>
        </is>
      </c>
      <c r="B10" s="2" t="inlineStr">
        <is>
          <t>HOLDING</t>
        </is>
      </c>
      <c r="C10" s="2" t="n">
        <v>6110562</v>
      </c>
      <c r="D10" s="2" t="inlineStr">
        <is>
          <t>COORDENADOR SUPORTE EXECUTIVO</t>
        </is>
      </c>
      <c r="E10" s="2" t="n">
        <v>10</v>
      </c>
      <c r="F10" s="2" t="inlineStr">
        <is>
          <t>ATIVO</t>
        </is>
      </c>
      <c r="G10" s="2" t="inlineStr">
        <is>
          <t>Corporativo</t>
        </is>
      </c>
      <c r="H10" s="2" t="inlineStr">
        <is>
          <t>Administração &amp; Serviços</t>
        </is>
      </c>
      <c r="I10" s="2" t="inlineStr">
        <is>
          <t>Secretaria</t>
        </is>
      </c>
      <c r="J10" s="2" t="inlineStr">
        <is>
          <t>Coordenador</t>
        </is>
      </c>
      <c r="K10" s="2" t="inlineStr">
        <is>
          <t>Coordenador Matriz</t>
        </is>
      </c>
      <c r="L10" s="2" t="n">
        <v>142105</v>
      </c>
      <c r="M10" s="2" t="inlineStr">
        <is>
          <t>Avaliação de tempos real</t>
        </is>
      </c>
      <c r="N10" s="2" t="inlineStr">
        <is>
          <t>Elegível</t>
        </is>
      </c>
      <c r="O10" s="2" t="inlineStr">
        <is>
          <t>NAO ELEGIVEL COTA  APRENDIZ</t>
        </is>
      </c>
      <c r="P10" s="2" t="inlineStr">
        <is>
          <t>CLT</t>
        </is>
      </c>
      <c r="Q10" s="2" t="inlineStr">
        <is>
          <t>Preponderante</t>
        </is>
      </c>
      <c r="R10" s="2" t="inlineStr">
        <is>
          <t>Elementares</t>
        </is>
      </c>
      <c r="S10" s="2" t="inlineStr">
        <is>
          <t>Coordenar o apoio pela equipe a Diretoria Executiva no que tange a atividades de secretaria,como, agendamento de compromissos, atendimentos telefonico e afins.</t>
        </is>
      </c>
      <c r="T10" s="2" t="inlineStr">
        <is>
          <t>IE.26.005.P41</t>
        </is>
      </c>
      <c r="U10" s="2" t="inlineStr">
        <is>
          <t>IE.26.005.P41</t>
        </is>
      </c>
    </row>
    <row r="11">
      <c r="A11" s="2" t="inlineStr">
        <is>
          <t>HOLDING</t>
        </is>
      </c>
      <c r="B11" s="2" t="inlineStr">
        <is>
          <t>HOLDING</t>
        </is>
      </c>
      <c r="C11" s="2" t="n">
        <v>6111274</v>
      </c>
      <c r="D11" s="2" t="inlineStr">
        <is>
          <t>SUPERVISOR SUPORTE EXECUTIVO</t>
        </is>
      </c>
      <c r="E11" s="2" t="n">
        <v>9</v>
      </c>
      <c r="F11" s="2" t="inlineStr">
        <is>
          <t>ATIVO</t>
        </is>
      </c>
      <c r="G11" s="2" t="inlineStr">
        <is>
          <t>Corporativo</t>
        </is>
      </c>
      <c r="H11" s="2" t="inlineStr">
        <is>
          <t>Administração &amp; Serviços</t>
        </is>
      </c>
      <c r="I11" s="2" t="inlineStr">
        <is>
          <t>Secretaria</t>
        </is>
      </c>
      <c r="J11" s="2" t="inlineStr">
        <is>
          <t>Supervisor</t>
        </is>
      </c>
      <c r="K11" s="2" t="inlineStr">
        <is>
          <t>Supervisor Matriz</t>
        </is>
      </c>
      <c r="L11" s="2" t="n">
        <v>252305</v>
      </c>
      <c r="M11" s="2" t="inlineStr">
        <is>
          <t>Avaliação de tempos real</t>
        </is>
      </c>
      <c r="N11" s="2" t="inlineStr">
        <is>
          <t>Elegível</t>
        </is>
      </c>
      <c r="O11" s="2" t="inlineStr">
        <is>
          <t>NAO ELEGIVEL COTA  APRENDIZ</t>
        </is>
      </c>
      <c r="P11" s="2" t="inlineStr">
        <is>
          <t>CLT</t>
        </is>
      </c>
      <c r="Q11" s="2" t="inlineStr">
        <is>
          <t>Preponderante</t>
        </is>
      </c>
      <c r="R11" s="2" t="inlineStr">
        <is>
          <t>Elementares</t>
        </is>
      </c>
      <c r="S11" s="2" t="inlineStr">
        <is>
          <t>Supervisionam equipes de trabalho a assessor os executivos no desempenho de suas funções, geram suprimentos e gerencia informações, garantindo o apoio pela equipe a Diretoria Executiva no que tange a atividades de secretaria,como, agendamento de compromissos, atendimentos telefonico</t>
        </is>
      </c>
      <c r="T11" s="2" t="inlineStr">
        <is>
          <t>IE.26.005.P31</t>
        </is>
      </c>
      <c r="U11" s="2" t="inlineStr">
        <is>
          <t>IE.26.005.P31</t>
        </is>
      </c>
    </row>
    <row r="12">
      <c r="A12" s="2" t="inlineStr">
        <is>
          <t>HOLDING</t>
        </is>
      </c>
      <c r="B12" s="2" t="inlineStr">
        <is>
          <t>HOLDING</t>
        </is>
      </c>
      <c r="C12" s="2" t="n">
        <v>6110336</v>
      </c>
      <c r="D12" s="2" t="inlineStr">
        <is>
          <t>ANALISTA SUPORTE EXECUTIVO SR</t>
        </is>
      </c>
      <c r="E12" s="2" t="n">
        <v>8</v>
      </c>
      <c r="F12" s="2" t="inlineStr">
        <is>
          <t>ATIVO</t>
        </is>
      </c>
      <c r="G12" s="2" t="inlineStr">
        <is>
          <t>Corporativo</t>
        </is>
      </c>
      <c r="H12" s="2" t="inlineStr">
        <is>
          <t>Administração &amp; Serviços</t>
        </is>
      </c>
      <c r="I12" s="2" t="inlineStr">
        <is>
          <t>Secretaria</t>
        </is>
      </c>
      <c r="J12" s="2" t="inlineStr">
        <is>
          <t>Analista</t>
        </is>
      </c>
      <c r="K12" s="2" t="inlineStr">
        <is>
          <t>Analista Sr</t>
        </is>
      </c>
      <c r="L12" s="2" t="n">
        <v>142330</v>
      </c>
      <c r="M12" s="2" t="inlineStr">
        <is>
          <t>Avaliação de tempos real</t>
        </is>
      </c>
      <c r="N12" s="2" t="inlineStr">
        <is>
          <t>Elegível</t>
        </is>
      </c>
      <c r="O12" s="2" t="inlineStr">
        <is>
          <t>NAO ELEGIVEL COTA  APRENDIZ</t>
        </is>
      </c>
      <c r="P12" s="2" t="inlineStr">
        <is>
          <t>CLT</t>
        </is>
      </c>
      <c r="Q12" s="2" t="inlineStr">
        <is>
          <t>Preponderante</t>
        </is>
      </c>
      <c r="R12" s="2" t="inlineStr">
        <is>
          <t>Elementares</t>
        </is>
      </c>
      <c r="S12" s="2" t="inlineStr">
        <is>
          <t>Apoiar a Diretoria Executiva no que tange a atividades de secretaria, como, agendamento de compromissos, atendimentos telefonico e afins.</t>
        </is>
      </c>
      <c r="T12" s="2" t="inlineStr">
        <is>
          <t>IE.26.005.P21</t>
        </is>
      </c>
      <c r="U12" s="2" t="inlineStr">
        <is>
          <t>IE.26.005.P21</t>
        </is>
      </c>
    </row>
    <row r="13">
      <c r="A13" s="2" t="inlineStr">
        <is>
          <t>HOLDING</t>
        </is>
      </c>
      <c r="B13" s="2" t="inlineStr">
        <is>
          <t>HOLDING</t>
        </is>
      </c>
      <c r="C13" s="2" t="n">
        <v>6110335</v>
      </c>
      <c r="D13" s="2" t="inlineStr">
        <is>
          <t>ANALISTA SUPORTE EXECUTIVO PL</t>
        </is>
      </c>
      <c r="E13" s="2" t="n">
        <v>6</v>
      </c>
      <c r="F13" s="2" t="inlineStr">
        <is>
          <t>ATIVO</t>
        </is>
      </c>
      <c r="G13" s="2" t="inlineStr">
        <is>
          <t>Corporativo</t>
        </is>
      </c>
      <c r="H13" s="2" t="inlineStr">
        <is>
          <t>Administração &amp; Serviços</t>
        </is>
      </c>
      <c r="I13" s="2" t="inlineStr">
        <is>
          <t>Secretaria</t>
        </is>
      </c>
      <c r="J13" s="2" t="inlineStr">
        <is>
          <t>Analista</t>
        </is>
      </c>
      <c r="K13" s="2" t="inlineStr">
        <is>
          <t>Analista Pl</t>
        </is>
      </c>
      <c r="L13" s="2" t="n">
        <v>142330</v>
      </c>
      <c r="M13" s="2" t="inlineStr">
        <is>
          <t>Avaliação de tempos real</t>
        </is>
      </c>
      <c r="N13" s="2" t="inlineStr">
        <is>
          <t>Elegível</t>
        </is>
      </c>
      <c r="O13" s="2" t="inlineStr">
        <is>
          <t>NAO ELEGIVEL COTA  APRENDIZ</t>
        </is>
      </c>
      <c r="P13" s="2" t="inlineStr">
        <is>
          <t>CLT</t>
        </is>
      </c>
      <c r="Q13" s="2" t="inlineStr">
        <is>
          <t>Preponderante</t>
        </is>
      </c>
      <c r="R13" s="2" t="inlineStr">
        <is>
          <t>Elementares</t>
        </is>
      </c>
      <c r="S13" s="2" t="inlineStr">
        <is>
          <t>Apoiar a Diretoria Executiva no que tange a atividades de secretaria, como, agendamento de compromissos, atendimentos telefonico e afins.</t>
        </is>
      </c>
      <c r="T13" s="2" t="inlineStr">
        <is>
          <t>IE.26.005.P11</t>
        </is>
      </c>
      <c r="U13" s="2" t="inlineStr">
        <is>
          <t>IE.26.005.P11</t>
        </is>
      </c>
    </row>
    <row r="14">
      <c r="A14" s="2" t="inlineStr">
        <is>
          <t>HOLDING</t>
        </is>
      </c>
      <c r="B14" s="2" t="inlineStr">
        <is>
          <t>HOLDING</t>
        </is>
      </c>
      <c r="C14" s="2" t="n">
        <v>6110334</v>
      </c>
      <c r="D14" s="2" t="inlineStr">
        <is>
          <t>ANALISTA SUPORTE EXECUTIVO JR</t>
        </is>
      </c>
      <c r="E14" s="2" t="n">
        <v>5</v>
      </c>
      <c r="F14" s="2" t="inlineStr">
        <is>
          <t>ATIVO</t>
        </is>
      </c>
      <c r="G14" s="2" t="inlineStr">
        <is>
          <t>Corporativo</t>
        </is>
      </c>
      <c r="H14" s="2" t="inlineStr">
        <is>
          <t>Administração &amp; Serviços</t>
        </is>
      </c>
      <c r="I14" s="2" t="inlineStr">
        <is>
          <t>Secretaria</t>
        </is>
      </c>
      <c r="J14" s="2" t="inlineStr">
        <is>
          <t>Analista</t>
        </is>
      </c>
      <c r="K14" s="2" t="inlineStr">
        <is>
          <t>Analista Jr</t>
        </is>
      </c>
      <c r="L14" s="2" t="n">
        <v>142330</v>
      </c>
      <c r="M14" s="2" t="inlineStr">
        <is>
          <t>Avaliação de tempos real</t>
        </is>
      </c>
      <c r="N14" s="2" t="inlineStr">
        <is>
          <t>Elegível</t>
        </is>
      </c>
      <c r="O14" s="2" t="inlineStr">
        <is>
          <t>NAO ELEGIVEL COTA  APRENDIZ</t>
        </is>
      </c>
      <c r="P14" s="2" t="inlineStr">
        <is>
          <t>CLT</t>
        </is>
      </c>
      <c r="Q14" s="2" t="inlineStr">
        <is>
          <t>Preponderante</t>
        </is>
      </c>
      <c r="R14" s="2" t="inlineStr">
        <is>
          <t>Elementares</t>
        </is>
      </c>
      <c r="S14" s="2" t="inlineStr">
        <is>
          <t>Apoiar a Diretoria Executiva no que tange a atividades de secretaria, como, agendamento de compromissos, atendimentos telefonico e afins.</t>
        </is>
      </c>
      <c r="T14" s="2" t="inlineStr">
        <is>
          <t>IE.26.005.S21</t>
        </is>
      </c>
      <c r="U14" s="2" t="inlineStr">
        <is>
          <t>IE.26.005.S21</t>
        </is>
      </c>
    </row>
    <row r="15">
      <c r="A15" s="2" t="inlineStr">
        <is>
          <t>HOLDING</t>
        </is>
      </c>
      <c r="B15" s="2" t="inlineStr">
        <is>
          <t>HOLDING</t>
        </is>
      </c>
      <c r="C15" s="2" t="n">
        <v>6110333</v>
      </c>
      <c r="D15" s="2" t="inlineStr">
        <is>
          <t>ANALISTA ASSISTENTE SUPORTE EXECUTIVO</t>
        </is>
      </c>
      <c r="E15" s="2" t="n">
        <v>4</v>
      </c>
      <c r="F15" s="2" t="inlineStr">
        <is>
          <t>ATIVO</t>
        </is>
      </c>
      <c r="G15" s="2" t="inlineStr">
        <is>
          <t>Corporativo</t>
        </is>
      </c>
      <c r="H15" s="2" t="inlineStr">
        <is>
          <t>Administração &amp; Serviços</t>
        </is>
      </c>
      <c r="I15" s="2" t="inlineStr">
        <is>
          <t>Secretaria</t>
        </is>
      </c>
      <c r="J15" s="2" t="inlineStr">
        <is>
          <t>Assistente</t>
        </is>
      </c>
      <c r="K15" s="2" t="inlineStr">
        <is>
          <t>Assistente</t>
        </is>
      </c>
      <c r="L15" s="2" t="n">
        <v>142330</v>
      </c>
      <c r="M15" s="2" t="inlineStr">
        <is>
          <t>Avaliação de tempos real</t>
        </is>
      </c>
      <c r="N15" s="2" t="inlineStr">
        <is>
          <t>Elegível</t>
        </is>
      </c>
      <c r="O15" s="2" t="inlineStr">
        <is>
          <t>NAO ELEGIVEL COTA  APRENDIZ</t>
        </is>
      </c>
      <c r="P15" s="2" t="inlineStr">
        <is>
          <t>CLT</t>
        </is>
      </c>
      <c r="Q15" s="2" t="inlineStr">
        <is>
          <t>Preponderante</t>
        </is>
      </c>
      <c r="R15" s="2" t="inlineStr">
        <is>
          <t>Elementares</t>
        </is>
      </c>
      <c r="S15" s="2" t="inlineStr">
        <is>
          <t>Apoiar a Diretoria Executiva no que tange a atividades de secretaria, como, agendamento de compromissos, atendimentos telefonico e afins.</t>
        </is>
      </c>
      <c r="T15" s="2" t="inlineStr">
        <is>
          <t>IE.26.005.S11</t>
        </is>
      </c>
      <c r="U15" s="2" t="inlineStr">
        <is>
          <t>IE.26.005.S11</t>
        </is>
      </c>
    </row>
    <row r="16">
      <c r="A16" s="2" t="inlineStr">
        <is>
          <t>HOLDING</t>
        </is>
      </c>
      <c r="B16" s="2" t="inlineStr">
        <is>
          <t>HOLDING</t>
        </is>
      </c>
      <c r="C16" s="2" t="n">
        <v>6102484</v>
      </c>
      <c r="D16" s="2" t="inlineStr">
        <is>
          <t>ASSISTENTE SECRETARIA I</t>
        </is>
      </c>
      <c r="E16" s="2" t="n">
        <v>4</v>
      </c>
      <c r="F16" s="2" t="inlineStr">
        <is>
          <t>ATIVO</t>
        </is>
      </c>
      <c r="G16" s="2" t="inlineStr">
        <is>
          <t>Corporativo</t>
        </is>
      </c>
      <c r="H16" s="2" t="inlineStr">
        <is>
          <t>Administração &amp; Serviços</t>
        </is>
      </c>
      <c r="I16" s="2" t="inlineStr">
        <is>
          <t>Secretaria</t>
        </is>
      </c>
      <c r="J16" s="2" t="inlineStr">
        <is>
          <t>Assistente</t>
        </is>
      </c>
      <c r="K16" s="2" t="inlineStr">
        <is>
          <t>Assistente</t>
        </is>
      </c>
      <c r="L16" s="2" t="n">
        <v>411010</v>
      </c>
      <c r="M16" s="2" t="inlineStr">
        <is>
          <t>Avaliação de tempos real</t>
        </is>
      </c>
      <c r="N16" s="2" t="inlineStr">
        <is>
          <t>Elegível</t>
        </is>
      </c>
      <c r="O16" s="2" t="inlineStr">
        <is>
          <t>ELEGIVEL COTA APRENDIZ</t>
        </is>
      </c>
      <c r="P16" s="2" t="inlineStr">
        <is>
          <t>CLT</t>
        </is>
      </c>
      <c r="Q16" s="2" t="inlineStr">
        <is>
          <t>Preponderante</t>
        </is>
      </c>
      <c r="R16" s="2" t="inlineStr">
        <is>
          <t>Elementares</t>
        </is>
      </c>
      <c r="S16" s="2" t="inlineStr">
        <is>
          <t>Dar assistencia a superintendencia no que concerne a agendamento de compromissos e prestar atendimento a demanda interna e externa.</t>
        </is>
      </c>
      <c r="T16" s="2" t="inlineStr">
        <is>
          <t>IE.26.002.M20</t>
        </is>
      </c>
      <c r="U16" s="2" t="inlineStr">
        <is>
          <t>IE.26.002.M20</t>
        </is>
      </c>
    </row>
    <row r="17">
      <c r="A17" s="2" t="inlineStr">
        <is>
          <t>BARE</t>
        </is>
      </c>
      <c r="B17" s="2" t="inlineStr">
        <is>
          <t>AUTO RE SEG</t>
        </is>
      </c>
      <c r="C17" s="2" t="n">
        <v>7508778</v>
      </c>
      <c r="D17" s="2" t="inlineStr">
        <is>
          <t>COORDENADOR SUPORTE ADMINISTRATIVO</t>
        </is>
      </c>
      <c r="E17" s="2" t="n">
        <v>10</v>
      </c>
      <c r="F17" s="2" t="inlineStr">
        <is>
          <t>ATIVO</t>
        </is>
      </c>
      <c r="G17" s="2" t="inlineStr">
        <is>
          <t>Corporativo</t>
        </is>
      </c>
      <c r="H17" s="2" t="inlineStr">
        <is>
          <t>Administração &amp; Serviços</t>
        </is>
      </c>
      <c r="I17" s="2" t="inlineStr">
        <is>
          <t>Serviços administrativos</t>
        </is>
      </c>
      <c r="J17" s="2" t="inlineStr">
        <is>
          <t>Coordenador</t>
        </is>
      </c>
      <c r="K17" s="2" t="inlineStr">
        <is>
          <t>Coordenador Matriz</t>
        </is>
      </c>
      <c r="L17" s="2" t="n">
        <v>142105</v>
      </c>
      <c r="M17" s="2" t="inlineStr">
        <is>
          <t>Avaliação de tempos real</t>
        </is>
      </c>
      <c r="N17" s="2" t="inlineStr">
        <is>
          <t>Elegível</t>
        </is>
      </c>
      <c r="O17" s="2" t="inlineStr">
        <is>
          <t>NAO ELEGIVEL COTA  APRENDIZ</t>
        </is>
      </c>
      <c r="P17" s="2" t="inlineStr">
        <is>
          <t>CLT</t>
        </is>
      </c>
      <c r="Q17" s="2" t="inlineStr">
        <is>
          <t>Preponderante</t>
        </is>
      </c>
      <c r="R17" s="2" t="inlineStr">
        <is>
          <t>Elementares</t>
        </is>
      </c>
      <c r="S17" s="2" t="inlineStr">
        <is>
          <t>Coordenar e orientar a equipe sob gestao, acompanhar e administrar a execucao das atividades operacionais e administrativas, garantindo o atendimento das responsabilidades nos prazos estipulados.</t>
        </is>
      </c>
      <c r="T17" s="2" t="inlineStr">
        <is>
          <t>IE.26.002.M10</t>
        </is>
      </c>
      <c r="U17" s="2" t="inlineStr">
        <is>
          <t>IE.26.002.M10</t>
        </is>
      </c>
    </row>
    <row r="18">
      <c r="A18" s="2" t="inlineStr">
        <is>
          <t>BARE</t>
        </is>
      </c>
      <c r="B18" s="2" t="inlineStr">
        <is>
          <t>AUTO RE SEG</t>
        </is>
      </c>
      <c r="C18" s="2" t="n">
        <v>7505883</v>
      </c>
      <c r="D18" s="2" t="inlineStr">
        <is>
          <t>SUPERVISOR SUPORTE ADMINISTRATIVO</t>
        </is>
      </c>
      <c r="E18" s="2" t="n">
        <v>8</v>
      </c>
      <c r="F18" s="2" t="inlineStr">
        <is>
          <t>ATIVO</t>
        </is>
      </c>
      <c r="G18" s="2" t="inlineStr">
        <is>
          <t>Corporativo</t>
        </is>
      </c>
      <c r="H18" s="2" t="inlineStr">
        <is>
          <t>Administração &amp; Serviços</t>
        </is>
      </c>
      <c r="I18" s="2" t="inlineStr">
        <is>
          <t>Serviços administrativos</t>
        </is>
      </c>
      <c r="J18" s="2" t="inlineStr">
        <is>
          <t>Supervisor</t>
        </is>
      </c>
      <c r="K18" s="2" t="inlineStr">
        <is>
          <t>Supervisor Matriz</t>
        </is>
      </c>
      <c r="L18" s="2" t="n">
        <v>410105</v>
      </c>
      <c r="M18" s="2" t="inlineStr">
        <is>
          <t>Avaliação de tempos real</t>
        </is>
      </c>
      <c r="N18" s="2" t="inlineStr">
        <is>
          <t>Elegível</t>
        </is>
      </c>
      <c r="O18" s="2" t="inlineStr">
        <is>
          <t>NAO ELEGIVEL COTA  APRENDIZ</t>
        </is>
      </c>
      <c r="P18" s="2" t="inlineStr">
        <is>
          <t>CLT</t>
        </is>
      </c>
      <c r="Q18" s="2" t="inlineStr">
        <is>
          <t>Preponderante</t>
        </is>
      </c>
      <c r="R18" s="2" t="inlineStr">
        <is>
          <t>Elementares</t>
        </is>
      </c>
      <c r="S18" s="2" t="inlineStr">
        <is>
          <t>Coordenar e orientar a equipe sob gestao, acompanhar e administrar a execucao das atividades operacionais e administrativas, garantindo o atendimento das responsabilidades nos prazos estipulados.</t>
        </is>
      </c>
      <c r="T18" s="2" t="inlineStr">
        <is>
          <t>IE.26.002.S20</t>
        </is>
      </c>
      <c r="U18" s="2" t="inlineStr">
        <is>
          <t>IE.26.002.S20</t>
        </is>
      </c>
    </row>
    <row r="19">
      <c r="A19" s="2" t="inlineStr">
        <is>
          <t>BARE</t>
        </is>
      </c>
      <c r="B19" s="2" t="inlineStr">
        <is>
          <t>AUTO RE SEG</t>
        </is>
      </c>
      <c r="C19" s="2" t="n">
        <v>7509227</v>
      </c>
      <c r="D19" s="2" t="inlineStr">
        <is>
          <t>ASSISTENTE ADMINISTRATIVO III</t>
        </is>
      </c>
      <c r="E19" s="2" t="n">
        <v>6</v>
      </c>
      <c r="F19" s="2" t="inlineStr">
        <is>
          <t>ATIVO</t>
        </is>
      </c>
      <c r="G19" s="2" t="inlineStr">
        <is>
          <t>Corporativo</t>
        </is>
      </c>
      <c r="H19" s="2" t="inlineStr">
        <is>
          <t>Administração &amp; Serviços</t>
        </is>
      </c>
      <c r="I19" s="2" t="inlineStr">
        <is>
          <t>Serviços administrativos</t>
        </is>
      </c>
      <c r="J19" s="2" t="inlineStr">
        <is>
          <t>Assistente</t>
        </is>
      </c>
      <c r="K19" s="2" t="inlineStr">
        <is>
          <t>Assistente</t>
        </is>
      </c>
      <c r="L19" s="2" t="n">
        <v>411010</v>
      </c>
      <c r="M19" s="2" t="inlineStr">
        <is>
          <t>Avaliação de tempos real</t>
        </is>
      </c>
      <c r="N19" s="2" t="inlineStr">
        <is>
          <t>Elegível</t>
        </is>
      </c>
      <c r="O19" s="2" t="inlineStr">
        <is>
          <t>ELEGIVEL COTA APRENDIZ</t>
        </is>
      </c>
      <c r="P19" s="2" t="inlineStr">
        <is>
          <t>CLT</t>
        </is>
      </c>
      <c r="Q19" s="2" t="inlineStr">
        <is>
          <t>Preponderante</t>
        </is>
      </c>
      <c r="R19" s="2" t="inlineStr">
        <is>
          <t>Elementares</t>
        </is>
      </c>
      <c r="S19" s="2" t="inlineStr">
        <is>
          <t>Executar serviços de apoio às diversas áreas do Grupo Segurador; atendem fornecedores e clientes, fornecendo e recebendo informações sobre produtos e serviços; tratam de documentos variados, cumprindo todo o procedimento necessário referente aos mesmos.</t>
        </is>
      </c>
      <c r="T19" s="2" t="inlineStr">
        <is>
          <t>IE.26.002.S20</t>
        </is>
      </c>
      <c r="U19" s="2" t="inlineStr">
        <is>
          <t>IE.26.002.S20</t>
        </is>
      </c>
    </row>
    <row r="20">
      <c r="A20" s="2" t="inlineStr">
        <is>
          <t>BARE</t>
        </is>
      </c>
      <c r="B20" s="2" t="inlineStr">
        <is>
          <t>AUTO RE SEG</t>
        </is>
      </c>
      <c r="C20" s="2" t="n">
        <v>7503579</v>
      </c>
      <c r="D20" s="2" t="inlineStr">
        <is>
          <t>ASSISTENTE ADMINISTRATIVO II</t>
        </is>
      </c>
      <c r="E20" s="2" t="n">
        <v>5</v>
      </c>
      <c r="F20" s="2" t="inlineStr">
        <is>
          <t>ATIVO</t>
        </is>
      </c>
      <c r="G20" s="2" t="inlineStr">
        <is>
          <t>Corporativo</t>
        </is>
      </c>
      <c r="H20" s="2" t="inlineStr">
        <is>
          <t>Administração &amp; Serviços</t>
        </is>
      </c>
      <c r="I20" s="2" t="inlineStr">
        <is>
          <t>Serviços administrativos</t>
        </is>
      </c>
      <c r="J20" s="2" t="inlineStr">
        <is>
          <t>Assistente</t>
        </is>
      </c>
      <c r="K20" s="2" t="inlineStr">
        <is>
          <t>Assistente</t>
        </is>
      </c>
      <c r="L20" s="2" t="n">
        <v>411010</v>
      </c>
      <c r="M20" s="2" t="inlineStr">
        <is>
          <t>Avaliação de tempos real</t>
        </is>
      </c>
      <c r="N20" s="2" t="inlineStr">
        <is>
          <t>Elegível</t>
        </is>
      </c>
      <c r="O20" s="2" t="inlineStr">
        <is>
          <t>ELEGIVEL COTA APRENDIZ</t>
        </is>
      </c>
      <c r="P20" s="2" t="inlineStr">
        <is>
          <t>CLT</t>
        </is>
      </c>
      <c r="Q20" s="2" t="inlineStr">
        <is>
          <t>Preponderante</t>
        </is>
      </c>
      <c r="R20" s="2" t="inlineStr">
        <is>
          <t>Elementares</t>
        </is>
      </c>
      <c r="S20" s="2" t="inlineStr">
        <is>
          <t>Executar servicos de apoio as diversas areas da Organizacao atendem fornecedores e clientes, fornecendo e recebendo informacoes sobre produtos e servicos tratam de documentos variados, cumprindo todo o procedimento necessario referente aos mesmos.</t>
        </is>
      </c>
      <c r="T20" s="2" t="inlineStr">
        <is>
          <t>IE.26.002.S20</t>
        </is>
      </c>
      <c r="U20" s="2" t="inlineStr">
        <is>
          <t>IE.26.002.S20</t>
        </is>
      </c>
    </row>
    <row r="21">
      <c r="A21" s="2" t="inlineStr">
        <is>
          <t>BARE</t>
        </is>
      </c>
      <c r="B21" s="2" t="inlineStr">
        <is>
          <t>AUTO RE SEG</t>
        </is>
      </c>
      <c r="C21" s="2" t="n">
        <v>7503578</v>
      </c>
      <c r="D21" s="2" t="inlineStr">
        <is>
          <t>ASSISTENTE ADMINISTRATIVO I</t>
        </is>
      </c>
      <c r="E21" s="2" t="n">
        <v>4</v>
      </c>
      <c r="F21" s="2" t="inlineStr">
        <is>
          <t>ATIVO</t>
        </is>
      </c>
      <c r="G21" s="2" t="inlineStr">
        <is>
          <t>Corporativo</t>
        </is>
      </c>
      <c r="H21" s="2" t="inlineStr">
        <is>
          <t>Administração &amp; Serviços</t>
        </is>
      </c>
      <c r="I21" s="2" t="inlineStr">
        <is>
          <t>Serviços administrativos</t>
        </is>
      </c>
      <c r="J21" s="2" t="inlineStr">
        <is>
          <t>Assistente</t>
        </is>
      </c>
      <c r="K21" s="2" t="inlineStr">
        <is>
          <t>Assistente</t>
        </is>
      </c>
      <c r="L21" s="2" t="n">
        <v>411010</v>
      </c>
      <c r="M21" s="2" t="inlineStr">
        <is>
          <t>Avaliação de tempos real</t>
        </is>
      </c>
      <c r="N21" s="2" t="inlineStr">
        <is>
          <t>Elegível</t>
        </is>
      </c>
      <c r="O21" s="2" t="inlineStr">
        <is>
          <t>ELEGIVEL COTA APRENDIZ</t>
        </is>
      </c>
      <c r="P21" s="2" t="inlineStr">
        <is>
          <t>CLT</t>
        </is>
      </c>
      <c r="Q21" s="2" t="inlineStr">
        <is>
          <t>Preponderante</t>
        </is>
      </c>
      <c r="R21" s="2" t="inlineStr">
        <is>
          <t>Elementares</t>
        </is>
      </c>
      <c r="S21" s="2" t="inlineStr">
        <is>
          <t>Executar servicos de apoio as diversas areas da Organizacao atendem fornecedores e clientes, fornecendo e recebendo informacoes sobre produtos e servicos tratam de documentos variados, cumprindo todo o procedimento necessario referente aos mesmos.</t>
        </is>
      </c>
      <c r="T21" s="2" t="inlineStr">
        <is>
          <t>IE.26.002.S10</t>
        </is>
      </c>
      <c r="U21" s="2" t="inlineStr">
        <is>
          <t>IE.26.002.S10</t>
        </is>
      </c>
    </row>
    <row r="22">
      <c r="A22" s="2" t="inlineStr">
        <is>
          <t>BARE</t>
        </is>
      </c>
      <c r="B22" s="2" t="inlineStr">
        <is>
          <t>AUTO RE SEG</t>
        </is>
      </c>
      <c r="C22" s="2" t="n">
        <v>7502344</v>
      </c>
      <c r="D22" s="2" t="inlineStr">
        <is>
          <t>AUXILIAR ADMINISTRATIVO</t>
        </is>
      </c>
      <c r="E22" s="2" t="n">
        <v>2</v>
      </c>
      <c r="F22" s="2" t="inlineStr">
        <is>
          <t>ATIVO</t>
        </is>
      </c>
      <c r="G22" s="2" t="inlineStr">
        <is>
          <t>Corporativo</t>
        </is>
      </c>
      <c r="H22" s="2" t="inlineStr">
        <is>
          <t>Administração &amp; Serviços</t>
        </is>
      </c>
      <c r="I22" s="2" t="inlineStr">
        <is>
          <t>Serviços administrativos</t>
        </is>
      </c>
      <c r="J22" s="2" t="inlineStr">
        <is>
          <t>Auxiliar</t>
        </is>
      </c>
      <c r="K22" s="2" t="inlineStr">
        <is>
          <t>Auxiliar</t>
        </is>
      </c>
      <c r="L22" s="2" t="n">
        <v>411010</v>
      </c>
      <c r="M22" s="2" t="inlineStr">
        <is>
          <t>Avaliação de tempos real</t>
        </is>
      </c>
      <c r="N22" s="2" t="inlineStr">
        <is>
          <t>Elegível</t>
        </is>
      </c>
      <c r="O22" s="2" t="inlineStr">
        <is>
          <t>ELEGIVEL COTA APRENDIZ</t>
        </is>
      </c>
      <c r="P22" s="2" t="inlineStr">
        <is>
          <t>CLT</t>
        </is>
      </c>
      <c r="Q22" s="2" t="inlineStr">
        <is>
          <t>Preponderante</t>
        </is>
      </c>
      <c r="R22" s="2" t="inlineStr">
        <is>
          <t>Elementares</t>
        </is>
      </c>
      <c r="S22" s="2" t="inlineStr">
        <is>
          <t>Prestar suporte a equipe, sob supervisao, realizando atividades administrativas, visando assegurar o cumprimento das normas e procedimentos internos.</t>
        </is>
      </c>
      <c r="T22" s="2" t="inlineStr">
        <is>
          <t>IE.26.002.M10</t>
        </is>
      </c>
      <c r="U22" s="2" t="inlineStr">
        <is>
          <t>IE.26.002.M10</t>
        </is>
      </c>
    </row>
    <row r="23">
      <c r="A23" s="2" t="inlineStr">
        <is>
          <t>BSP</t>
        </is>
      </c>
      <c r="B23" s="2" t="inlineStr">
        <is>
          <t>IMOBILIARIA</t>
        </is>
      </c>
      <c r="C23" s="2" t="n">
        <v>10605883</v>
      </c>
      <c r="D23" s="2" t="inlineStr">
        <is>
          <t>SUPERVISOR ADMINISTRATIVO</t>
        </is>
      </c>
      <c r="E23" s="2" t="n">
        <v>8</v>
      </c>
      <c r="F23" s="2" t="inlineStr">
        <is>
          <t>ATIVO</t>
        </is>
      </c>
      <c r="G23" s="2" t="inlineStr">
        <is>
          <t>Corporativo</t>
        </is>
      </c>
      <c r="H23" s="2" t="inlineStr">
        <is>
          <t>Administração &amp; Serviços</t>
        </is>
      </c>
      <c r="I23" s="2" t="inlineStr">
        <is>
          <t>Serviços administrativos</t>
        </is>
      </c>
      <c r="J23" s="2" t="inlineStr">
        <is>
          <t>Supervisor</t>
        </is>
      </c>
      <c r="K23" s="2" t="inlineStr">
        <is>
          <t>Supervisor Matriz</t>
        </is>
      </c>
      <c r="L23" s="2" t="n">
        <v>410105</v>
      </c>
      <c r="M23" s="2" t="inlineStr">
        <is>
          <t>Avaliação de tempos real</t>
        </is>
      </c>
      <c r="N23" s="2" t="inlineStr">
        <is>
          <t>Elegível</t>
        </is>
      </c>
      <c r="O23" s="2" t="inlineStr">
        <is>
          <t>NAO ELEGIVEL COTA  APRENDIZ</t>
        </is>
      </c>
      <c r="P23" s="2" t="inlineStr">
        <is>
          <t>CLT</t>
        </is>
      </c>
      <c r="Q23" s="2" t="inlineStr">
        <is>
          <t>Preponderante</t>
        </is>
      </c>
      <c r="R23" s="2" t="inlineStr">
        <is>
          <t>Empreendimentos</t>
        </is>
      </c>
      <c r="S23" s="2" t="inlineStr">
        <is>
          <t>Supervisionar e orientar a equipe sob gestao, acompanhar e administrar aexecucao das atividades operacionais e administrativas, garantindo oatendimento das responsabilidades nos prazos estipulados.</t>
        </is>
      </c>
      <c r="T23" s="2" t="inlineStr">
        <is>
          <t>IE.26.002.S20</t>
        </is>
      </c>
      <c r="U23" s="2" t="inlineStr">
        <is>
          <t>IE.26.002.S20</t>
        </is>
      </c>
    </row>
    <row r="24">
      <c r="A24" s="2" t="inlineStr">
        <is>
          <t>BSP</t>
        </is>
      </c>
      <c r="B24" s="2" t="inlineStr">
        <is>
          <t>IMOBILIARIA</t>
        </is>
      </c>
      <c r="C24" s="2" t="n">
        <v>10609227</v>
      </c>
      <c r="D24" s="2" t="inlineStr">
        <is>
          <t>ASSISTENTE ADMINISTRATIVO III</t>
        </is>
      </c>
      <c r="E24" s="2" t="n">
        <v>6</v>
      </c>
      <c r="F24" s="2" t="inlineStr">
        <is>
          <t>ATIVO</t>
        </is>
      </c>
      <c r="G24" s="2" t="inlineStr">
        <is>
          <t>Corporativo</t>
        </is>
      </c>
      <c r="H24" s="2" t="inlineStr">
        <is>
          <t>Administração &amp; Serviços</t>
        </is>
      </c>
      <c r="I24" s="2" t="inlineStr">
        <is>
          <t>Serviços administrativos</t>
        </is>
      </c>
      <c r="J24" s="2" t="inlineStr">
        <is>
          <t>Assistente</t>
        </is>
      </c>
      <c r="K24" s="2" t="inlineStr">
        <is>
          <t>Assistente</t>
        </is>
      </c>
      <c r="L24" s="2" t="n">
        <v>411010</v>
      </c>
      <c r="M24" s="2" t="inlineStr">
        <is>
          <t>Avaliação de tempos real</t>
        </is>
      </c>
      <c r="N24" s="2" t="inlineStr">
        <is>
          <t>Elegível</t>
        </is>
      </c>
      <c r="O24" s="2" t="inlineStr">
        <is>
          <t>ELEGIVEL COTA APRENDIZ</t>
        </is>
      </c>
      <c r="P24" s="2" t="inlineStr">
        <is>
          <t>CLT</t>
        </is>
      </c>
      <c r="Q24" s="2" t="inlineStr">
        <is>
          <t>Preponderante</t>
        </is>
      </c>
      <c r="R24" s="2" t="inlineStr">
        <is>
          <t>Empreendimentos</t>
        </is>
      </c>
      <c r="S24" s="2" t="inlineStr">
        <is>
          <t>Executar servicos de apoio as diversas areas da Organizacao atendemfornecedores e clientes, fornecendo e recebendo informacoes sobreprodutos e servicos tratam de documentos variados, cumprindo todo oprocedimento necessario referente aos mesmos.</t>
        </is>
      </c>
      <c r="T24" s="2" t="inlineStr">
        <is>
          <t>IE.26.002.S20</t>
        </is>
      </c>
      <c r="U24" s="2" t="inlineStr">
        <is>
          <t>IE.26.002.S20</t>
        </is>
      </c>
    </row>
    <row r="25">
      <c r="A25" s="2" t="inlineStr">
        <is>
          <t>BSP</t>
        </is>
      </c>
      <c r="B25" s="2" t="inlineStr">
        <is>
          <t>IMOBILIARIA</t>
        </is>
      </c>
      <c r="C25" s="2" t="n">
        <v>10603579</v>
      </c>
      <c r="D25" s="2" t="inlineStr">
        <is>
          <t>ASSISTENTE ADMINISTRATIVO II</t>
        </is>
      </c>
      <c r="E25" s="2" t="n">
        <v>5</v>
      </c>
      <c r="F25" s="2" t="inlineStr">
        <is>
          <t>ATIVO</t>
        </is>
      </c>
      <c r="G25" s="2" t="inlineStr">
        <is>
          <t>Corporativo</t>
        </is>
      </c>
      <c r="H25" s="2" t="inlineStr">
        <is>
          <t>Administração &amp; Serviços</t>
        </is>
      </c>
      <c r="I25" s="2" t="inlineStr">
        <is>
          <t>Serviços administrativos</t>
        </is>
      </c>
      <c r="J25" s="2" t="inlineStr">
        <is>
          <t>Assistente</t>
        </is>
      </c>
      <c r="K25" s="2" t="inlineStr">
        <is>
          <t>Assistente</t>
        </is>
      </c>
      <c r="L25" s="2" t="n">
        <v>411010</v>
      </c>
      <c r="M25" s="2" t="inlineStr">
        <is>
          <t>Avaliação de tempos real</t>
        </is>
      </c>
      <c r="N25" s="2" t="inlineStr">
        <is>
          <t>Elegível</t>
        </is>
      </c>
      <c r="O25" s="2" t="inlineStr">
        <is>
          <t>ELEGIVEL COTA APRENDIZ</t>
        </is>
      </c>
      <c r="P25" s="2" t="inlineStr">
        <is>
          <t>CLT</t>
        </is>
      </c>
      <c r="Q25" s="2" t="inlineStr">
        <is>
          <t>Preponderante</t>
        </is>
      </c>
      <c r="R25" s="2" t="inlineStr">
        <is>
          <t>Empreendimentos</t>
        </is>
      </c>
      <c r="S25" s="2" t="inlineStr">
        <is>
          <t>Executar servicos de apoio as diversas areas da Organizacao atendemfornecedores e clientes, fornecendo e recebendo informacoes sobreprodutos e servicos tratam de documentos variados, cumprindo todo oprocedimento necessario referente aos mesmos.</t>
        </is>
      </c>
      <c r="T25" s="2" t="inlineStr">
        <is>
          <t>IE.26.002.S20</t>
        </is>
      </c>
      <c r="U25" s="2" t="inlineStr">
        <is>
          <t>IE.26.002.S20</t>
        </is>
      </c>
    </row>
    <row r="26">
      <c r="A26" s="2" t="inlineStr">
        <is>
          <t>BSP</t>
        </is>
      </c>
      <c r="B26" s="2" t="inlineStr">
        <is>
          <t>IMOBILIARIA</t>
        </is>
      </c>
      <c r="C26" s="2" t="n">
        <v>10603578</v>
      </c>
      <c r="D26" s="2" t="inlineStr">
        <is>
          <t>ASSISTENTE ADMINISTRATIVO I</t>
        </is>
      </c>
      <c r="E26" s="2" t="n">
        <v>4</v>
      </c>
      <c r="F26" s="2" t="inlineStr">
        <is>
          <t>ATIVO</t>
        </is>
      </c>
      <c r="G26" s="2" t="inlineStr">
        <is>
          <t>Corporativo</t>
        </is>
      </c>
      <c r="H26" s="2" t="inlineStr">
        <is>
          <t>Administração &amp; Serviços</t>
        </is>
      </c>
      <c r="I26" s="2" t="inlineStr">
        <is>
          <t>Serviços administrativos</t>
        </is>
      </c>
      <c r="J26" s="2" t="inlineStr">
        <is>
          <t>Assistente</t>
        </is>
      </c>
      <c r="K26" s="2" t="inlineStr">
        <is>
          <t>Assistente</t>
        </is>
      </c>
      <c r="L26" s="2" t="n">
        <v>411010</v>
      </c>
      <c r="M26" s="2" t="inlineStr">
        <is>
          <t>Avaliação de tempos real</t>
        </is>
      </c>
      <c r="N26" s="2" t="inlineStr">
        <is>
          <t>Elegível</t>
        </is>
      </c>
      <c r="O26" s="2" t="inlineStr">
        <is>
          <t>ELEGIVEL COTA APRENDIZ</t>
        </is>
      </c>
      <c r="P26" s="2" t="inlineStr">
        <is>
          <t>CLT</t>
        </is>
      </c>
      <c r="Q26" s="2" t="inlineStr">
        <is>
          <t>Preponderante</t>
        </is>
      </c>
      <c r="R26" s="2" t="inlineStr">
        <is>
          <t>Empreendimentos</t>
        </is>
      </c>
      <c r="S26" s="2" t="inlineStr">
        <is>
          <t>Executar serviços de apoio às diversas áreas do Grupo Segurador; atendemfornecedores e clientes, fornecendo e recebendo informações sobreprodutos e serviços; tratam de documentos variados, cumprindo todo oprocedimento necessário referente aos mesmos.</t>
        </is>
      </c>
      <c r="T26" s="2" t="inlineStr">
        <is>
          <t>IE.26.002.M30</t>
        </is>
      </c>
      <c r="U26" s="2" t="inlineStr">
        <is>
          <t>IE.26.002.M30</t>
        </is>
      </c>
    </row>
    <row r="27">
      <c r="A27" s="2" t="inlineStr">
        <is>
          <t>BVP</t>
        </is>
      </c>
      <c r="B27" s="2" t="inlineStr">
        <is>
          <t>PREVIDENCIA</t>
        </is>
      </c>
      <c r="C27" s="2" t="n">
        <v>3405918</v>
      </c>
      <c r="D27" s="2" t="inlineStr">
        <is>
          <t>GERENTE SUPORTE ADMINISTRATIVO</t>
        </is>
      </c>
      <c r="E27" s="2" t="n">
        <v>11</v>
      </c>
      <c r="F27" s="2" t="inlineStr">
        <is>
          <t>ATIVO</t>
        </is>
      </c>
      <c r="G27" s="2" t="inlineStr">
        <is>
          <t>Corporativo</t>
        </is>
      </c>
      <c r="H27" s="2" t="inlineStr">
        <is>
          <t>Administração &amp; Serviços</t>
        </is>
      </c>
      <c r="I27" s="2" t="inlineStr">
        <is>
          <t>Serviços administrativos</t>
        </is>
      </c>
      <c r="J27" s="2" t="inlineStr">
        <is>
          <t>GA</t>
        </is>
      </c>
      <c r="K27" s="2" t="inlineStr">
        <is>
          <t>GA</t>
        </is>
      </c>
      <c r="L27" s="2" t="n">
        <v>142105</v>
      </c>
      <c r="M27" s="2" t="inlineStr">
        <is>
          <t>Avaliação de tempos teórica</t>
        </is>
      </c>
      <c r="N27" s="2" t="inlineStr">
        <is>
          <t>Não elegível</t>
        </is>
      </c>
      <c r="O27" s="2" t="inlineStr">
        <is>
          <t>NAO ELEGIVEL COTA  APRENDIZ</t>
        </is>
      </c>
      <c r="P27" s="2" t="inlineStr">
        <is>
          <t>CLT</t>
        </is>
      </c>
      <c r="Q27" s="2" t="inlineStr">
        <is>
          <t>Preponderante</t>
        </is>
      </c>
      <c r="R27" s="2" t="inlineStr">
        <is>
          <t>Vida e Previdência</t>
        </is>
      </c>
      <c r="S27" s="2" t="inlineStr">
        <is>
          <t>Gerenciar, orientar e acompanhar todas as atividades administrativas pertinentes a sua area de responsabilidade para garantir conformidade com as normas e politicas da Organizacao.</t>
        </is>
      </c>
      <c r="T27" s="2" t="inlineStr">
        <is>
          <t>IE.26.002.M10</t>
        </is>
      </c>
      <c r="U27" s="2" t="inlineStr">
        <is>
          <t>IE.26.002.M10</t>
        </is>
      </c>
    </row>
    <row r="28">
      <c r="A28" s="2" t="inlineStr">
        <is>
          <t>BVP</t>
        </is>
      </c>
      <c r="B28" s="2" t="inlineStr">
        <is>
          <t>PREVIDENCIA</t>
        </is>
      </c>
      <c r="C28" s="2" t="n">
        <v>3405883</v>
      </c>
      <c r="D28" s="2" t="inlineStr">
        <is>
          <t>SUPERVISOR SUPORTE ADMINISTRATIVO</t>
        </is>
      </c>
      <c r="E28" s="2" t="n">
        <v>8</v>
      </c>
      <c r="F28" s="2" t="inlineStr">
        <is>
          <t>ATIVO</t>
        </is>
      </c>
      <c r="G28" s="2" t="inlineStr">
        <is>
          <t>Corporativo</t>
        </is>
      </c>
      <c r="H28" s="2" t="inlineStr">
        <is>
          <t>Administração &amp; Serviços</t>
        </is>
      </c>
      <c r="I28" s="2" t="inlineStr">
        <is>
          <t>Serviços administrativos</t>
        </is>
      </c>
      <c r="J28" s="2" t="inlineStr">
        <is>
          <t>Supervisor</t>
        </is>
      </c>
      <c r="K28" s="2" t="inlineStr">
        <is>
          <t>Supervisor Matriz</t>
        </is>
      </c>
      <c r="L28" s="2" t="n">
        <v>410105</v>
      </c>
      <c r="M28" s="2" t="inlineStr">
        <is>
          <t>Avaliação de tempos real</t>
        </is>
      </c>
      <c r="N28" s="2" t="inlineStr">
        <is>
          <t>Elegível</t>
        </is>
      </c>
      <c r="O28" s="2" t="inlineStr">
        <is>
          <t>NAO ELEGIVEL COTA  APRENDIZ</t>
        </is>
      </c>
      <c r="P28" s="2" t="inlineStr">
        <is>
          <t>CLT</t>
        </is>
      </c>
      <c r="Q28" s="2" t="inlineStr">
        <is>
          <t>Preponderante</t>
        </is>
      </c>
      <c r="R28" s="2" t="inlineStr">
        <is>
          <t>Vida e Previdência</t>
        </is>
      </c>
      <c r="S28" s="2" t="inlineStr">
        <is>
          <t>Coordenar e orientar a equipe sob gestao, acompanhar e administrar a execucao das atividades operacionais e administrativas, garantindo o atendimento das responsabilidades nos prazos estipulados.</t>
        </is>
      </c>
      <c r="T28" s="2" t="inlineStr">
        <is>
          <t>IE.26.002.S20</t>
        </is>
      </c>
      <c r="U28" s="2" t="inlineStr">
        <is>
          <t>IE.26.002.S20</t>
        </is>
      </c>
    </row>
    <row r="29">
      <c r="A29" s="2" t="inlineStr">
        <is>
          <t>BVP</t>
        </is>
      </c>
      <c r="B29" s="2" t="inlineStr">
        <is>
          <t>PREVIDENCIA</t>
        </is>
      </c>
      <c r="C29" s="2" t="n">
        <v>3409227</v>
      </c>
      <c r="D29" s="2" t="inlineStr">
        <is>
          <t>ASSISTENTE ADMINISTRATIVO III</t>
        </is>
      </c>
      <c r="E29" s="2" t="n">
        <v>6</v>
      </c>
      <c r="F29" s="2" t="inlineStr">
        <is>
          <t>ATIVO</t>
        </is>
      </c>
      <c r="G29" s="2" t="inlineStr">
        <is>
          <t>Corporativo</t>
        </is>
      </c>
      <c r="H29" s="2" t="inlineStr">
        <is>
          <t>Administração &amp; Serviços</t>
        </is>
      </c>
      <c r="I29" s="2" t="inlineStr">
        <is>
          <t>Serviços administrativos</t>
        </is>
      </c>
      <c r="J29" s="2" t="inlineStr">
        <is>
          <t>Assistente</t>
        </is>
      </c>
      <c r="K29" s="2" t="inlineStr">
        <is>
          <t>Assistente</t>
        </is>
      </c>
      <c r="L29" s="2" t="n">
        <v>411010</v>
      </c>
      <c r="M29" s="2" t="inlineStr">
        <is>
          <t>Avaliação de tempos real</t>
        </is>
      </c>
      <c r="N29" s="2" t="inlineStr">
        <is>
          <t>Elegível</t>
        </is>
      </c>
      <c r="O29" s="2" t="inlineStr">
        <is>
          <t>ELEGIVEL COTA APRENDIZ</t>
        </is>
      </c>
      <c r="P29" s="2" t="inlineStr">
        <is>
          <t>CLT</t>
        </is>
      </c>
      <c r="Q29" s="2" t="inlineStr">
        <is>
          <t>Preponderante</t>
        </is>
      </c>
      <c r="R29" s="2" t="inlineStr">
        <is>
          <t>Vida e Previdência</t>
        </is>
      </c>
      <c r="S29" s="2" t="inlineStr">
        <is>
          <t>Executar servicos de apoio as diversas areas da Organizacao atendem fornecedores e clientes, fornecendo e recebendo informacoes sobre produtos e servicos tratam de documentos variados, cumprindo todo o procedimento necessario referente aos mesmos.</t>
        </is>
      </c>
      <c r="T29" s="2" t="inlineStr">
        <is>
          <t>IE.26.002.S20</t>
        </is>
      </c>
      <c r="U29" s="2" t="inlineStr">
        <is>
          <t>IE.26.002.S20</t>
        </is>
      </c>
    </row>
    <row r="30">
      <c r="A30" s="2" t="inlineStr">
        <is>
          <t>BVP</t>
        </is>
      </c>
      <c r="B30" s="2" t="inlineStr">
        <is>
          <t>PREVIDENCIA</t>
        </is>
      </c>
      <c r="C30" s="2" t="n">
        <v>3403579</v>
      </c>
      <c r="D30" s="2" t="inlineStr">
        <is>
          <t>ASSISTENTE ADMINISTRATIVO II</t>
        </is>
      </c>
      <c r="E30" s="2" t="n">
        <v>5</v>
      </c>
      <c r="F30" s="2" t="inlineStr">
        <is>
          <t>ATIVO</t>
        </is>
      </c>
      <c r="G30" s="2" t="inlineStr">
        <is>
          <t>Corporativo</t>
        </is>
      </c>
      <c r="H30" s="2" t="inlineStr">
        <is>
          <t>Administração &amp; Serviços</t>
        </is>
      </c>
      <c r="I30" s="2" t="inlineStr">
        <is>
          <t>Serviços administrativos</t>
        </is>
      </c>
      <c r="J30" s="2" t="inlineStr">
        <is>
          <t>Assistente</t>
        </is>
      </c>
      <c r="K30" s="2" t="inlineStr">
        <is>
          <t>Assistente</t>
        </is>
      </c>
      <c r="L30" s="2" t="n">
        <v>411010</v>
      </c>
      <c r="M30" s="2" t="inlineStr">
        <is>
          <t>Avaliação de tempos real</t>
        </is>
      </c>
      <c r="N30" s="2" t="inlineStr">
        <is>
          <t>Elegível</t>
        </is>
      </c>
      <c r="O30" s="2" t="inlineStr">
        <is>
          <t>ELEGIVEL COTA APRENDIZ</t>
        </is>
      </c>
      <c r="P30" s="2" t="inlineStr">
        <is>
          <t>CLT</t>
        </is>
      </c>
      <c r="Q30" s="2" t="inlineStr">
        <is>
          <t>Preponderante</t>
        </is>
      </c>
      <c r="R30" s="2" t="inlineStr">
        <is>
          <t>Vida e Previdência</t>
        </is>
      </c>
      <c r="S30" s="2" t="inlineStr">
        <is>
          <t>Executar servicos de apoio as diversas areas da Organizacao atendem fornecedores e clientes, fornecendo e recebendo informacoes sobre produtos e servicos tratam de documentos variados, cumprindo todo o procedimento necessario referente aos mesmos.</t>
        </is>
      </c>
      <c r="T30" s="2" t="inlineStr">
        <is>
          <t>IE.26.002.S20</t>
        </is>
      </c>
      <c r="U30" s="2" t="inlineStr">
        <is>
          <t>IE.26.002.S20</t>
        </is>
      </c>
    </row>
    <row r="31">
      <c r="A31" s="2" t="inlineStr">
        <is>
          <t>BVP</t>
        </is>
      </c>
      <c r="B31" s="2" t="inlineStr">
        <is>
          <t>PREVIDENCIA</t>
        </is>
      </c>
      <c r="C31" s="2" t="n">
        <v>3403578</v>
      </c>
      <c r="D31" s="2" t="inlineStr">
        <is>
          <t>ASSISTENTE ADMINISTRATIVO I</t>
        </is>
      </c>
      <c r="E31" s="2" t="n">
        <v>4</v>
      </c>
      <c r="F31" s="2" t="inlineStr">
        <is>
          <t>ATIVO</t>
        </is>
      </c>
      <c r="G31" s="2" t="inlineStr">
        <is>
          <t>Corporativo</t>
        </is>
      </c>
      <c r="H31" s="2" t="inlineStr">
        <is>
          <t>Administração &amp; Serviços</t>
        </is>
      </c>
      <c r="I31" s="2" t="inlineStr">
        <is>
          <t>Serviços administrativos</t>
        </is>
      </c>
      <c r="J31" s="2" t="inlineStr">
        <is>
          <t>Assistente</t>
        </is>
      </c>
      <c r="K31" s="2" t="inlineStr">
        <is>
          <t>Assistente</t>
        </is>
      </c>
      <c r="L31" s="2" t="n">
        <v>411010</v>
      </c>
      <c r="M31" s="2" t="inlineStr">
        <is>
          <t>Avaliação de tempos real</t>
        </is>
      </c>
      <c r="N31" s="2" t="inlineStr">
        <is>
          <t>Elegível</t>
        </is>
      </c>
      <c r="O31" s="2" t="inlineStr">
        <is>
          <t>ELEGIVEL COTA APRENDIZ</t>
        </is>
      </c>
      <c r="P31" s="2" t="inlineStr">
        <is>
          <t>CLT</t>
        </is>
      </c>
      <c r="Q31" s="2" t="inlineStr">
        <is>
          <t>Preponderante</t>
        </is>
      </c>
      <c r="R31" s="2" t="inlineStr">
        <is>
          <t>Vida e Previdência</t>
        </is>
      </c>
      <c r="S31" s="2" t="inlineStr">
        <is>
          <t>Executar servicos de apoio as diversas areas da Organizacao atendem fornecedores e clientes, fornecendo e recebendo informacoes sobre produtos e servicos tratam de documentos variados, cumprindo todo o procedimento necessario referente aos mesmos.</t>
        </is>
      </c>
      <c r="T31" s="2" t="inlineStr">
        <is>
          <t>IE.26.002.S10</t>
        </is>
      </c>
      <c r="U31" s="2" t="inlineStr">
        <is>
          <t>IE.26.002.S10</t>
        </is>
      </c>
    </row>
    <row r="32">
      <c r="A32" s="2" t="inlineStr">
        <is>
          <t>BVP</t>
        </is>
      </c>
      <c r="B32" s="2" t="inlineStr">
        <is>
          <t>PREVIDENCIA</t>
        </is>
      </c>
      <c r="C32" s="2" t="n">
        <v>3402344</v>
      </c>
      <c r="D32" s="2" t="inlineStr">
        <is>
          <t>AUXILIAR ADMINISTRATIVO</t>
        </is>
      </c>
      <c r="E32" s="2" t="n">
        <v>2</v>
      </c>
      <c r="F32" s="2" t="inlineStr">
        <is>
          <t>ATIVO</t>
        </is>
      </c>
      <c r="G32" s="2" t="inlineStr">
        <is>
          <t>Corporativo</t>
        </is>
      </c>
      <c r="H32" s="2" t="inlineStr">
        <is>
          <t>Administração &amp; Serviços</t>
        </is>
      </c>
      <c r="I32" s="2" t="inlineStr">
        <is>
          <t>Serviços administrativos</t>
        </is>
      </c>
      <c r="J32" s="2" t="inlineStr">
        <is>
          <t>Auxiliar</t>
        </is>
      </c>
      <c r="K32" s="2" t="inlineStr">
        <is>
          <t>Auxiliar</t>
        </is>
      </c>
      <c r="L32" s="2" t="n">
        <v>411010</v>
      </c>
      <c r="M32" s="2" t="inlineStr">
        <is>
          <t>Avaliação de tempos real</t>
        </is>
      </c>
      <c r="N32" s="2" t="inlineStr">
        <is>
          <t>Elegível</t>
        </is>
      </c>
      <c r="O32" s="2" t="inlineStr">
        <is>
          <t>ELEGIVEL COTA APRENDIZ</t>
        </is>
      </c>
      <c r="P32" s="2" t="inlineStr">
        <is>
          <t>CLT</t>
        </is>
      </c>
      <c r="Q32" s="2" t="inlineStr">
        <is>
          <t>Preponderante</t>
        </is>
      </c>
      <c r="R32" s="2" t="inlineStr">
        <is>
          <t>Vida e Previdência</t>
        </is>
      </c>
      <c r="S32" s="2" t="inlineStr">
        <is>
          <t>Prestar suporte a equipe, sob supervisao, realizando atividades administrativas, visando assegurar o cumprimento das normas e procedimentos internos.</t>
        </is>
      </c>
      <c r="T32" s="2" t="inlineStr">
        <is>
          <t>IE.26.002.M10</t>
        </is>
      </c>
      <c r="U32" s="2" t="inlineStr">
        <is>
          <t>IE.26.002.M10</t>
        </is>
      </c>
    </row>
    <row r="33">
      <c r="A33" s="2" t="inlineStr">
        <is>
          <t>CAP</t>
        </is>
      </c>
      <c r="B33" s="2" t="inlineStr">
        <is>
          <t>CAPITALIZ</t>
        </is>
      </c>
      <c r="C33" s="2" t="n">
        <v>7305883</v>
      </c>
      <c r="D33" s="2" t="inlineStr">
        <is>
          <t>SUPERVISOR SUPORTE ADMINISTRATIVO</t>
        </is>
      </c>
      <c r="E33" s="2" t="n">
        <v>8</v>
      </c>
      <c r="F33" s="2" t="inlineStr">
        <is>
          <t>ATIVO</t>
        </is>
      </c>
      <c r="G33" s="2" t="inlineStr">
        <is>
          <t>Corporativo</t>
        </is>
      </c>
      <c r="H33" s="2" t="inlineStr">
        <is>
          <t>Administração &amp; Serviços</t>
        </is>
      </c>
      <c r="I33" s="2" t="inlineStr">
        <is>
          <t>Serviços administrativos</t>
        </is>
      </c>
      <c r="J33" s="2" t="inlineStr">
        <is>
          <t>Supervisor</t>
        </is>
      </c>
      <c r="K33" s="2" t="inlineStr">
        <is>
          <t>Supervisor Matriz</t>
        </is>
      </c>
      <c r="L33" s="2" t="n">
        <v>142105</v>
      </c>
      <c r="M33" s="2" t="inlineStr">
        <is>
          <t>Avaliação de tempos real</t>
        </is>
      </c>
      <c r="N33" s="2" t="inlineStr">
        <is>
          <t>Elegível</t>
        </is>
      </c>
      <c r="O33" s="2" t="inlineStr">
        <is>
          <t>NAO ELEGIVEL COTA  APRENDIZ</t>
        </is>
      </c>
      <c r="P33" s="2" t="inlineStr">
        <is>
          <t>CLT</t>
        </is>
      </c>
      <c r="Q33" s="2" t="inlineStr">
        <is>
          <t>Preponderante</t>
        </is>
      </c>
      <c r="R33" s="2" t="inlineStr">
        <is>
          <t>Vida e Previdência</t>
        </is>
      </c>
      <c r="S33" s="2" t="inlineStr">
        <is>
          <t>Coordenar e orientar a equipe sob gestao, acompanhar e administrar a execucao das atividades operacionais e administrativas, garantindo o atendimento das responsabilidades nos prazos estipulados.</t>
        </is>
      </c>
      <c r="T33" s="2" t="inlineStr">
        <is>
          <t>IE.26.002.S20</t>
        </is>
      </c>
      <c r="U33" s="2" t="inlineStr">
        <is>
          <t>IE.26.002.S20</t>
        </is>
      </c>
    </row>
    <row r="34">
      <c r="A34" s="2" t="inlineStr">
        <is>
          <t>CAP</t>
        </is>
      </c>
      <c r="B34" s="2" t="inlineStr">
        <is>
          <t>CAPITALIZ</t>
        </is>
      </c>
      <c r="C34" s="2" t="n">
        <v>7309227</v>
      </c>
      <c r="D34" s="2" t="inlineStr">
        <is>
          <t>ASSISTENTE ADMINISTRATIVO III</t>
        </is>
      </c>
      <c r="E34" s="2" t="n">
        <v>6</v>
      </c>
      <c r="F34" s="2" t="inlineStr">
        <is>
          <t>ATIVO</t>
        </is>
      </c>
      <c r="G34" s="2" t="inlineStr">
        <is>
          <t>Corporativo</t>
        </is>
      </c>
      <c r="H34" s="2" t="inlineStr">
        <is>
          <t>Administração &amp; Serviços</t>
        </is>
      </c>
      <c r="I34" s="2" t="inlineStr">
        <is>
          <t>Serviços administrativos</t>
        </is>
      </c>
      <c r="J34" s="2" t="inlineStr">
        <is>
          <t>Assistente</t>
        </is>
      </c>
      <c r="K34" s="2" t="inlineStr">
        <is>
          <t>Assistente</t>
        </is>
      </c>
      <c r="L34" s="2" t="n">
        <v>411010</v>
      </c>
      <c r="M34" s="2" t="inlineStr">
        <is>
          <t>Avaliação de tempos real</t>
        </is>
      </c>
      <c r="N34" s="2" t="inlineStr">
        <is>
          <t>Elegível</t>
        </is>
      </c>
      <c r="O34" s="2" t="inlineStr">
        <is>
          <t>ELEGIVEL COTA APRENDIZ</t>
        </is>
      </c>
      <c r="P34" s="2" t="inlineStr">
        <is>
          <t>CLT</t>
        </is>
      </c>
      <c r="Q34" s="2" t="inlineStr">
        <is>
          <t>Preponderante</t>
        </is>
      </c>
      <c r="R34" s="2" t="inlineStr">
        <is>
          <t>Vida e Previdência</t>
        </is>
      </c>
      <c r="S34" s="2" t="inlineStr">
        <is>
          <t>Executar servicos de apoio as diversas areas da Organizacao atendem fornecedores e clientes, fornecendo e recebendo informacoes sobre produtos e servicos tratam de documentos variados, cumprindo todo o procedimento necessario referente aos mesmos.</t>
        </is>
      </c>
      <c r="T34" s="2" t="inlineStr">
        <is>
          <t>IE.26.002.S20</t>
        </is>
      </c>
      <c r="U34" s="2" t="inlineStr">
        <is>
          <t>IE.26.002.S20</t>
        </is>
      </c>
    </row>
    <row r="35">
      <c r="A35" s="2" t="inlineStr">
        <is>
          <t>CAP</t>
        </is>
      </c>
      <c r="B35" s="2" t="inlineStr">
        <is>
          <t>CAPITALIZ</t>
        </is>
      </c>
      <c r="C35" s="2" t="n">
        <v>7303579</v>
      </c>
      <c r="D35" s="2" t="inlineStr">
        <is>
          <t>ASSISTENTE ADMINISTRATIVO II</t>
        </is>
      </c>
      <c r="E35" s="2" t="n">
        <v>5</v>
      </c>
      <c r="F35" s="2" t="inlineStr">
        <is>
          <t>ATIVO</t>
        </is>
      </c>
      <c r="G35" s="2" t="inlineStr">
        <is>
          <t>Corporativo</t>
        </is>
      </c>
      <c r="H35" s="2" t="inlineStr">
        <is>
          <t>Administração &amp; Serviços</t>
        </is>
      </c>
      <c r="I35" s="2" t="inlineStr">
        <is>
          <t>Serviços administrativos</t>
        </is>
      </c>
      <c r="J35" s="2" t="inlineStr">
        <is>
          <t>Assistente</t>
        </is>
      </c>
      <c r="K35" s="2" t="inlineStr">
        <is>
          <t>Assistente</t>
        </is>
      </c>
      <c r="L35" s="2" t="n">
        <v>411010</v>
      </c>
      <c r="M35" s="2" t="inlineStr">
        <is>
          <t>Avaliação de tempos real</t>
        </is>
      </c>
      <c r="N35" s="2" t="inlineStr">
        <is>
          <t>Elegível</t>
        </is>
      </c>
      <c r="O35" s="2" t="inlineStr">
        <is>
          <t>ELEGIVEL COTA APRENDIZ</t>
        </is>
      </c>
      <c r="P35" s="2" t="inlineStr">
        <is>
          <t>CLT</t>
        </is>
      </c>
      <c r="Q35" s="2" t="inlineStr">
        <is>
          <t>Preponderante</t>
        </is>
      </c>
      <c r="R35" s="2" t="inlineStr">
        <is>
          <t>Vida e Previdência</t>
        </is>
      </c>
      <c r="S35" s="2" t="inlineStr">
        <is>
          <t>Executar servicos de apoio as diversas areas da Organizacao atendem fornecedores e clientes, fornecendo e recebendo informacoes sobre produtos e servicos tratam de documentos variados, cumprindo todo o procedimento necessario referente aos mesmos.</t>
        </is>
      </c>
      <c r="T35" s="2" t="inlineStr">
        <is>
          <t>IE.26.002.S20</t>
        </is>
      </c>
      <c r="U35" s="2" t="inlineStr">
        <is>
          <t>IE.26.002.S20</t>
        </is>
      </c>
    </row>
    <row r="36">
      <c r="A36" s="2" t="inlineStr">
        <is>
          <t>CAP</t>
        </is>
      </c>
      <c r="B36" s="2" t="inlineStr">
        <is>
          <t>CAPITALIZ</t>
        </is>
      </c>
      <c r="C36" s="2" t="n">
        <v>7303578</v>
      </c>
      <c r="D36" s="2" t="inlineStr">
        <is>
          <t>ASSISTENTE ADMINISTRATIVO I</t>
        </is>
      </c>
      <c r="E36" s="2" t="n">
        <v>4</v>
      </c>
      <c r="F36" s="2" t="inlineStr">
        <is>
          <t>ATIVO</t>
        </is>
      </c>
      <c r="G36" s="2" t="inlineStr">
        <is>
          <t>Corporativo</t>
        </is>
      </c>
      <c r="H36" s="2" t="inlineStr">
        <is>
          <t>Administração &amp; Serviços</t>
        </is>
      </c>
      <c r="I36" s="2" t="inlineStr">
        <is>
          <t>Serviços administrativos</t>
        </is>
      </c>
      <c r="J36" s="2" t="inlineStr">
        <is>
          <t>Assistente</t>
        </is>
      </c>
      <c r="K36" s="2" t="inlineStr">
        <is>
          <t>Assistente</t>
        </is>
      </c>
      <c r="L36" s="2" t="n">
        <v>411010</v>
      </c>
      <c r="M36" s="2" t="inlineStr">
        <is>
          <t>Avaliação de tempos real</t>
        </is>
      </c>
      <c r="N36" s="2" t="inlineStr">
        <is>
          <t>Elegível</t>
        </is>
      </c>
      <c r="O36" s="2" t="inlineStr">
        <is>
          <t>ELEGIVEL COTA APRENDIZ</t>
        </is>
      </c>
      <c r="P36" s="2" t="inlineStr">
        <is>
          <t>CLT</t>
        </is>
      </c>
      <c r="Q36" s="2" t="inlineStr">
        <is>
          <t>Preponderante</t>
        </is>
      </c>
      <c r="R36" s="2" t="inlineStr">
        <is>
          <t>Vida e Previdência</t>
        </is>
      </c>
      <c r="S36" s="2" t="inlineStr">
        <is>
          <t>Executar servicos de apoio as diversas areas da Organizacao atendem fornecedores e clientes, fornecendo e recebendo informacoes sobre produtos e servicos tratam de documentos variados, cumprindo todo o procedimento necessario referente aos mesmos.</t>
        </is>
      </c>
      <c r="T36" s="2" t="inlineStr">
        <is>
          <t>IE.26.002.S10</t>
        </is>
      </c>
      <c r="U36" s="2" t="inlineStr">
        <is>
          <t>IE.26.002.S10</t>
        </is>
      </c>
    </row>
    <row r="37">
      <c r="A37" s="2" t="inlineStr">
        <is>
          <t>CAP</t>
        </is>
      </c>
      <c r="B37" s="2" t="inlineStr">
        <is>
          <t>CAPITALIZ</t>
        </is>
      </c>
      <c r="C37" s="2" t="n">
        <v>7302344</v>
      </c>
      <c r="D37" s="2" t="inlineStr">
        <is>
          <t>AUXILIAR ADMINISTRATIVO</t>
        </is>
      </c>
      <c r="E37" s="2" t="n">
        <v>2</v>
      </c>
      <c r="F37" s="2" t="inlineStr">
        <is>
          <t>ATIVO</t>
        </is>
      </c>
      <c r="G37" s="2" t="inlineStr">
        <is>
          <t>Corporativo</t>
        </is>
      </c>
      <c r="H37" s="2" t="inlineStr">
        <is>
          <t>Administração &amp; Serviços</t>
        </is>
      </c>
      <c r="I37" s="2" t="inlineStr">
        <is>
          <t>Serviços administrativos</t>
        </is>
      </c>
      <c r="J37" s="2" t="inlineStr">
        <is>
          <t>Auxiliar</t>
        </is>
      </c>
      <c r="K37" s="2" t="inlineStr">
        <is>
          <t>Auxiliar</t>
        </is>
      </c>
      <c r="L37" s="2" t="n">
        <v>411010</v>
      </c>
      <c r="M37" s="2" t="inlineStr">
        <is>
          <t>Avaliação de tempos real</t>
        </is>
      </c>
      <c r="N37" s="2" t="inlineStr">
        <is>
          <t>Elegível</t>
        </is>
      </c>
      <c r="O37" s="2" t="inlineStr">
        <is>
          <t>ELEGIVEL COTA APRENDIZ</t>
        </is>
      </c>
      <c r="P37" s="2" t="inlineStr">
        <is>
          <t>CLT</t>
        </is>
      </c>
      <c r="Q37" s="2" t="inlineStr">
        <is>
          <t>Preponderante</t>
        </is>
      </c>
      <c r="R37" s="2" t="inlineStr">
        <is>
          <t>Vida e Previdência</t>
        </is>
      </c>
      <c r="S37" s="2" t="inlineStr">
        <is>
          <t>Prestar suporte a equipe, sob supervisao, realizando atividades administrativas, visando assegurar o cumprimento das normas e procedimentos internos.</t>
        </is>
      </c>
      <c r="T37" s="2" t="inlineStr">
        <is>
          <t>TI.01.011.M30</t>
        </is>
      </c>
      <c r="U37" s="2" t="inlineStr">
        <is>
          <t>TI.01.011.M30</t>
        </is>
      </c>
    </row>
    <row r="38">
      <c r="A38" s="2" t="inlineStr">
        <is>
          <t>HOLDING</t>
        </is>
      </c>
      <c r="B38" s="2" t="inlineStr">
        <is>
          <t>HOLDING</t>
        </is>
      </c>
      <c r="C38" s="2" t="n">
        <v>6105741</v>
      </c>
      <c r="D38" s="2" t="inlineStr">
        <is>
          <t>GERENTE ADMINISTRATIVO TI</t>
        </is>
      </c>
      <c r="E38" s="2" t="n">
        <v>11</v>
      </c>
      <c r="F38" s="2" t="inlineStr">
        <is>
          <t>ATIVO</t>
        </is>
      </c>
      <c r="G38" s="2" t="inlineStr">
        <is>
          <t>Corporativo</t>
        </is>
      </c>
      <c r="H38" s="2" t="inlineStr">
        <is>
          <t>Administração &amp; Serviços</t>
        </is>
      </c>
      <c r="I38" s="2" t="inlineStr">
        <is>
          <t>Serviços administrativos</t>
        </is>
      </c>
      <c r="J38" s="2" t="inlineStr">
        <is>
          <t>GA</t>
        </is>
      </c>
      <c r="K38" s="2" t="inlineStr">
        <is>
          <t>GA</t>
        </is>
      </c>
      <c r="L38" s="2" t="n">
        <v>142105</v>
      </c>
      <c r="M38" s="2" t="inlineStr">
        <is>
          <t>Avaliação de tempos teórica</t>
        </is>
      </c>
      <c r="N38" s="2" t="inlineStr">
        <is>
          <t>Não elegível</t>
        </is>
      </c>
      <c r="O38" s="2" t="inlineStr">
        <is>
          <t>NAO ELEGIVEL COTA  APRENDIZ</t>
        </is>
      </c>
      <c r="P38" s="2" t="inlineStr">
        <is>
          <t>CLT</t>
        </is>
      </c>
      <c r="Q38" s="2" t="inlineStr">
        <is>
          <t>Preponderante</t>
        </is>
      </c>
      <c r="R38" s="2" t="inlineStr">
        <is>
          <t>Elementares</t>
        </is>
      </c>
      <c r="S38" s="2" t="inlineStr">
        <is>
          <t>Responder pelas atividades de comunicacao das acoes, iniciativas e projetos de TI, assegurando que sejam executadas de forma clara e objetiva. Garantir suporte e orientacao as atividades relacionadas a recursos humanos e a gestao das pessoas,zelando para que as rotinas e acoes sejam conduzidas em consonancia com as normas estabelecidas pela Organizacao Responder pelo planejamento e gestao do orcamento do departamento, garantindo consonancia com as diretrizes estrategicas, de modo a cumprir com a missao.</t>
        </is>
      </c>
      <c r="T38" s="2" t="inlineStr">
        <is>
          <t>IE.26.002.M30</t>
        </is>
      </c>
      <c r="U38" s="2" t="inlineStr">
        <is>
          <t>IE.26.002.M30</t>
        </is>
      </c>
    </row>
    <row r="39">
      <c r="A39" s="2" t="inlineStr">
        <is>
          <t>HOLDING</t>
        </is>
      </c>
      <c r="B39" s="2" t="inlineStr">
        <is>
          <t>HOLDING</t>
        </is>
      </c>
      <c r="C39" s="2" t="n">
        <v>6111283</v>
      </c>
      <c r="D39" s="2" t="inlineStr">
        <is>
          <t>GERENTE SEGURANCA PATRIMONIAL</t>
        </is>
      </c>
      <c r="E39" s="2" t="n">
        <v>11</v>
      </c>
      <c r="F39" s="2" t="inlineStr">
        <is>
          <t>ATIVO</t>
        </is>
      </c>
      <c r="G39" s="2" t="inlineStr">
        <is>
          <t>Corporativo</t>
        </is>
      </c>
      <c r="H39" s="2" t="inlineStr">
        <is>
          <t>Administração &amp; Serviços</t>
        </is>
      </c>
      <c r="I39" s="2" t="inlineStr">
        <is>
          <t>Serviços administrativos</t>
        </is>
      </c>
      <c r="J39" s="2" t="inlineStr">
        <is>
          <t>GA</t>
        </is>
      </c>
      <c r="K39" s="2" t="inlineStr">
        <is>
          <t>GA</t>
        </is>
      </c>
      <c r="L39" s="2" t="n">
        <v>252605</v>
      </c>
      <c r="M39" s="2" t="inlineStr">
        <is>
          <t>Avaliação de tempos teórica</t>
        </is>
      </c>
      <c r="N39" s="2" t="inlineStr">
        <is>
          <t>Não elegível</t>
        </is>
      </c>
      <c r="O39" s="2" t="inlineStr">
        <is>
          <t>NAO ELEGIVEL COTA  APRENDIZ</t>
        </is>
      </c>
      <c r="P39" s="2" t="inlineStr">
        <is>
          <t>CLT</t>
        </is>
      </c>
      <c r="Q39" s="2" t="inlineStr">
        <is>
          <t>Preponderante</t>
        </is>
      </c>
      <c r="R39" s="2" t="inlineStr">
        <is>
          <t>Elementares</t>
        </is>
      </c>
      <c r="S39" s="2" t="inlineStr">
        <is>
          <t xml:space="preserve">Assegurar que as melhores práticas de gestão de segurança orgânica das dependências do GBS e de transporte executivo atendam às melhores práticas de mercado, sendo responsável por propor políticas, planos, projetos, procedimentos e normas de segurança, assessorar gestores e a diretoria da organização em assuntos voltados à segurança e transporte, realizar interface com Órgãos de Segurança Pública de interesse da segurança da Organização. </t>
        </is>
      </c>
      <c r="T39" s="2" t="inlineStr">
        <is>
          <t>IE.26.002.M30</t>
        </is>
      </c>
      <c r="U39" s="2" t="inlineStr">
        <is>
          <t>IE.26.002.M30</t>
        </is>
      </c>
    </row>
    <row r="40">
      <c r="A40" s="2" t="inlineStr">
        <is>
          <t>HOLDING</t>
        </is>
      </c>
      <c r="B40" s="2" t="inlineStr">
        <is>
          <t>HOLDING</t>
        </is>
      </c>
      <c r="C40" s="2" t="n">
        <v>6105918</v>
      </c>
      <c r="D40" s="2" t="inlineStr">
        <is>
          <t>GERENTE SUPORTE ADMINISTRATIVO</t>
        </is>
      </c>
      <c r="E40" s="2" t="n">
        <v>11</v>
      </c>
      <c r="F40" s="2" t="inlineStr">
        <is>
          <t>ATIVO</t>
        </is>
      </c>
      <c r="G40" s="2" t="inlineStr">
        <is>
          <t>Corporativo</t>
        </is>
      </c>
      <c r="H40" s="2" t="inlineStr">
        <is>
          <t>Administração &amp; Serviços</t>
        </is>
      </c>
      <c r="I40" s="2" t="inlineStr">
        <is>
          <t>Serviços administrativos</t>
        </is>
      </c>
      <c r="J40" s="2" t="inlineStr">
        <is>
          <t>GA</t>
        </is>
      </c>
      <c r="K40" s="2" t="inlineStr">
        <is>
          <t>GA</t>
        </is>
      </c>
      <c r="L40" s="2" t="n">
        <v>142105</v>
      </c>
      <c r="M40" s="2" t="inlineStr">
        <is>
          <t>Avaliação de tempos teórica</t>
        </is>
      </c>
      <c r="N40" s="2" t="inlineStr">
        <is>
          <t>Não elegível</t>
        </is>
      </c>
      <c r="O40" s="2" t="inlineStr">
        <is>
          <t>NAO ELEGIVEL COTA  APRENDIZ</t>
        </is>
      </c>
      <c r="P40" s="2" t="inlineStr">
        <is>
          <t>CLT</t>
        </is>
      </c>
      <c r="Q40" s="2" t="inlineStr">
        <is>
          <t>Preponderante</t>
        </is>
      </c>
      <c r="R40" s="2" t="inlineStr">
        <is>
          <t>Elementares</t>
        </is>
      </c>
      <c r="S40" s="2" t="inlineStr">
        <is>
          <t>Gerenciar, orientar e acompanhar todas as atividades pertinentes a sua area de responsabilidade para garantir conformidade com as normas e politicas da Organizacao. Subsidiar a Diretoria do Departamento com informacoes gerenciais quando necessario para falicitar a tomada de decisao. Acompanhar os processos de eficiencia operacional e planejamento estrategico. Assegurar que os projetos da area sejam implementados e acompanhar os processos de melhoria continua, bem como garantir que as operacoes estejam dentro dos padroes de qualidade e seguranca da Organizacao.</t>
        </is>
      </c>
      <c r="T40" s="2" t="inlineStr">
        <is>
          <t>IE.26.002.M20</t>
        </is>
      </c>
      <c r="U40" s="2" t="inlineStr">
        <is>
          <t>IE.26.002.M20</t>
        </is>
      </c>
    </row>
    <row r="41">
      <c r="A41" s="2" t="inlineStr">
        <is>
          <t>HOLDING</t>
        </is>
      </c>
      <c r="B41" s="2" t="inlineStr">
        <is>
          <t>HOLDING</t>
        </is>
      </c>
      <c r="C41" s="2" t="n">
        <v>6108778</v>
      </c>
      <c r="D41" s="2" t="inlineStr">
        <is>
          <t>COORDENADOR SUPORTE ADMINISTRATIVO</t>
        </is>
      </c>
      <c r="E41" s="2" t="n">
        <v>10</v>
      </c>
      <c r="F41" s="2" t="inlineStr">
        <is>
          <t>ATIVO</t>
        </is>
      </c>
      <c r="G41" s="2" t="inlineStr">
        <is>
          <t>Corporativo</t>
        </is>
      </c>
      <c r="H41" s="2" t="inlineStr">
        <is>
          <t>Administração &amp; Serviços</t>
        </is>
      </c>
      <c r="I41" s="2" t="inlineStr">
        <is>
          <t>Serviços administrativos</t>
        </is>
      </c>
      <c r="J41" s="2" t="inlineStr">
        <is>
          <t>Coordenador</t>
        </is>
      </c>
      <c r="K41" s="2" t="inlineStr">
        <is>
          <t>Coordenador Matriz</t>
        </is>
      </c>
      <c r="L41" s="2" t="n">
        <v>142105</v>
      </c>
      <c r="M41" s="2" t="inlineStr">
        <is>
          <t>Avaliação de tempos real</t>
        </is>
      </c>
      <c r="N41" s="2" t="inlineStr">
        <is>
          <t>Elegível</t>
        </is>
      </c>
      <c r="O41" s="2" t="inlineStr">
        <is>
          <t>NAO ELEGIVEL COTA  APRENDIZ</t>
        </is>
      </c>
      <c r="P41" s="2" t="inlineStr">
        <is>
          <t>CLT</t>
        </is>
      </c>
      <c r="Q41" s="2" t="inlineStr">
        <is>
          <t>Preponderante</t>
        </is>
      </c>
      <c r="R41" s="2" t="inlineStr">
        <is>
          <t>Elementares</t>
        </is>
      </c>
      <c r="S41" s="2" t="inlineStr">
        <is>
          <t>Coordenar e orientar a equipe sob gestao, acompanhar e administrar a execucao das atividades operacionais e administrativas, garantindo o atendimento das responsabilidades nos prazos estipulados.</t>
        </is>
      </c>
      <c r="T41" s="2" t="inlineStr">
        <is>
          <t>IE.26.008.M20</t>
        </is>
      </c>
      <c r="U41" s="2" t="inlineStr">
        <is>
          <t>IE.26.008.M20</t>
        </is>
      </c>
    </row>
    <row r="42">
      <c r="A42" s="2" t="inlineStr">
        <is>
          <t>HOLDING</t>
        </is>
      </c>
      <c r="B42" s="2" t="inlineStr">
        <is>
          <t>HOLDING</t>
        </is>
      </c>
      <c r="C42" s="2" t="n">
        <v>6110009</v>
      </c>
      <c r="D42" s="2" t="inlineStr">
        <is>
          <t>COORDENADOR ANALISE SEGURANCA</t>
        </is>
      </c>
      <c r="E42" s="2" t="n">
        <v>9</v>
      </c>
      <c r="F42" s="2" t="inlineStr">
        <is>
          <t>ATIVO</t>
        </is>
      </c>
      <c r="G42" s="2" t="inlineStr">
        <is>
          <t>Corporativo</t>
        </is>
      </c>
      <c r="H42" s="2" t="inlineStr">
        <is>
          <t>Administração &amp; Serviços</t>
        </is>
      </c>
      <c r="I42" s="2" t="inlineStr">
        <is>
          <t>Serviços administrativos</t>
        </is>
      </c>
      <c r="J42" s="2" t="inlineStr">
        <is>
          <t>Coordenador</t>
        </is>
      </c>
      <c r="K42" s="2" t="inlineStr">
        <is>
          <t>Coordenador Operacional</t>
        </is>
      </c>
      <c r="L42" s="2" t="n">
        <v>252605</v>
      </c>
      <c r="M42" s="2" t="inlineStr">
        <is>
          <t>Avaliação de tempos real</t>
        </is>
      </c>
      <c r="N42" s="2" t="inlineStr">
        <is>
          <t>Elegível</t>
        </is>
      </c>
      <c r="O42" s="2" t="inlineStr">
        <is>
          <t>NAO ELEGIVEL COTA  APRENDIZ</t>
        </is>
      </c>
      <c r="P42" s="2" t="inlineStr">
        <is>
          <t>CLT</t>
        </is>
      </c>
      <c r="Q42" s="2" t="inlineStr">
        <is>
          <t>Preponderante</t>
        </is>
      </c>
      <c r="R42" s="2" t="inlineStr">
        <is>
          <t>Elementares</t>
        </is>
      </c>
      <c r="S42" s="2" t="inlineStr">
        <is>
          <t>Coordenar o processo de vigilancia, avaliando a prestacao de servicos e mantendo contato com os Fornecedores. Coordenar a administracao do sistema de seguranca patrimonial, proporcionando a correta execucao dos servicos bem como o seu pagamento. Validar a analise dos pedidos de vigilancia da Organizacao, visando garantir a seguranca com base nas normas corporativas.</t>
        </is>
      </c>
      <c r="T42" s="2" t="inlineStr">
        <is>
          <t>IE.26.002.M20</t>
        </is>
      </c>
      <c r="U42" s="2" t="inlineStr">
        <is>
          <t>IE.26.002.M20</t>
        </is>
      </c>
    </row>
    <row r="43">
      <c r="A43" s="2" t="inlineStr">
        <is>
          <t>HOLDING</t>
        </is>
      </c>
      <c r="B43" s="2" t="inlineStr">
        <is>
          <t>HOLDING</t>
        </is>
      </c>
      <c r="C43" s="2" t="n">
        <v>6111282</v>
      </c>
      <c r="D43" s="2" t="inlineStr">
        <is>
          <t>COORDENADOR SEGURANCA PATRIMONIAL</t>
        </is>
      </c>
      <c r="E43" s="2" t="n">
        <v>9</v>
      </c>
      <c r="F43" s="2" t="inlineStr">
        <is>
          <t>ATIVO</t>
        </is>
      </c>
      <c r="G43" s="2" t="inlineStr">
        <is>
          <t>Corporativo</t>
        </is>
      </c>
      <c r="H43" s="2" t="inlineStr">
        <is>
          <t>Administração &amp; Serviços</t>
        </is>
      </c>
      <c r="I43" s="2" t="inlineStr">
        <is>
          <t>Serviços administrativos</t>
        </is>
      </c>
      <c r="J43" s="2" t="inlineStr">
        <is>
          <t>Coordenador</t>
        </is>
      </c>
      <c r="K43" s="2" t="inlineStr">
        <is>
          <t>Coordenador Operacional</t>
        </is>
      </c>
      <c r="L43" s="2" t="n">
        <v>252605</v>
      </c>
      <c r="M43" s="2" t="inlineStr">
        <is>
          <t>Avaliação de tempos real</t>
        </is>
      </c>
      <c r="N43" s="2" t="inlineStr">
        <is>
          <t>Elegível</t>
        </is>
      </c>
      <c r="O43" s="2" t="inlineStr">
        <is>
          <t>NAO ELEGIVEL COTA  APRENDIZ</t>
        </is>
      </c>
      <c r="P43" s="2" t="inlineStr">
        <is>
          <t>CLT</t>
        </is>
      </c>
      <c r="Q43" s="2" t="inlineStr">
        <is>
          <t>Preponderante</t>
        </is>
      </c>
      <c r="R43" s="2" t="inlineStr">
        <is>
          <t>Elementares</t>
        </is>
      </c>
      <c r="S43" s="2" t="inlineStr">
        <is>
          <t>Propor  e apoiar a gerência na definição de políticas, planos, projetos, procedimentos e normas de segurança, assessorar gestores e a diretoria da organização em assuntos voltados à segurança e transporte, para assegurar as melhores práticas de gestão de segurança orgânica das dependências do GBS e de transporte executivo.</t>
        </is>
      </c>
      <c r="T43" s="2" t="inlineStr">
        <is>
          <t>IE.26.002.M10</t>
        </is>
      </c>
      <c r="U43" s="2" t="inlineStr">
        <is>
          <t>IE.26.002.M10</t>
        </is>
      </c>
    </row>
    <row r="44">
      <c r="A44" s="2" t="inlineStr">
        <is>
          <t>HOLDING</t>
        </is>
      </c>
      <c r="B44" s="2" t="inlineStr">
        <is>
          <t>HOLDING</t>
        </is>
      </c>
      <c r="C44" s="2" t="n">
        <v>6105883</v>
      </c>
      <c r="D44" s="2" t="inlineStr">
        <is>
          <t>SUPERVISOR SUPORTE ADMINISTRATIVO</t>
        </is>
      </c>
      <c r="E44" s="2" t="n">
        <v>8</v>
      </c>
      <c r="F44" s="2" t="inlineStr">
        <is>
          <t>ATIVO</t>
        </is>
      </c>
      <c r="G44" s="2" t="inlineStr">
        <is>
          <t>Corporativo</t>
        </is>
      </c>
      <c r="H44" s="2" t="inlineStr">
        <is>
          <t>Administração &amp; Serviços</t>
        </is>
      </c>
      <c r="I44" s="2" t="inlineStr">
        <is>
          <t>Serviços administrativos</t>
        </is>
      </c>
      <c r="J44" s="2" t="inlineStr">
        <is>
          <t>Supervisor</t>
        </is>
      </c>
      <c r="K44" s="2" t="inlineStr">
        <is>
          <t>Supervisor Matriz</t>
        </is>
      </c>
      <c r="L44" s="2" t="n">
        <v>410105</v>
      </c>
      <c r="M44" s="2" t="inlineStr">
        <is>
          <t>Avaliação de tempos real</t>
        </is>
      </c>
      <c r="N44" s="2" t="inlineStr">
        <is>
          <t>Elegível</t>
        </is>
      </c>
      <c r="O44" s="2" t="inlineStr">
        <is>
          <t>NAO ELEGIVEL COTA  APRENDIZ</t>
        </is>
      </c>
      <c r="P44" s="2" t="inlineStr">
        <is>
          <t>CLT</t>
        </is>
      </c>
      <c r="Q44" s="2" t="inlineStr">
        <is>
          <t>Preponderante</t>
        </is>
      </c>
      <c r="R44" s="2" t="inlineStr">
        <is>
          <t>Elementares</t>
        </is>
      </c>
      <c r="S44" s="2" t="inlineStr">
        <is>
          <t>Coordenar e orientar a equipe sob gestao, acompanhar e administrar a execucao das atividades operacionais e administrativas, garantindo o atendimento das responsabilidades nos prazos estipulados.</t>
        </is>
      </c>
      <c r="T44" s="2" t="inlineStr">
        <is>
          <t>IE.26.008.P30</t>
        </is>
      </c>
      <c r="U44" s="2" t="inlineStr">
        <is>
          <t>IE.26.008.P30</t>
        </is>
      </c>
    </row>
    <row r="45">
      <c r="A45" s="2" t="inlineStr">
        <is>
          <t>HOLDING</t>
        </is>
      </c>
      <c r="B45" s="2" t="inlineStr">
        <is>
          <t>HOLDING</t>
        </is>
      </c>
      <c r="C45" s="2" t="n">
        <v>6110011</v>
      </c>
      <c r="D45" s="2" t="inlineStr">
        <is>
          <t>ANALISTA SEGURANCA SR</t>
        </is>
      </c>
      <c r="E45" s="2" t="n">
        <v>7</v>
      </c>
      <c r="F45" s="2" t="inlineStr">
        <is>
          <t>ATIVO</t>
        </is>
      </c>
      <c r="G45" s="2" t="inlineStr">
        <is>
          <t>Corporativo</t>
        </is>
      </c>
      <c r="H45" s="2" t="inlineStr">
        <is>
          <t>Administração &amp; Serviços</t>
        </is>
      </c>
      <c r="I45" s="2" t="inlineStr">
        <is>
          <t>Serviços administrativos</t>
        </is>
      </c>
      <c r="J45" s="2" t="inlineStr">
        <is>
          <t>Analista</t>
        </is>
      </c>
      <c r="K45" s="2" t="inlineStr">
        <is>
          <t>Analista Pl</t>
        </is>
      </c>
      <c r="L45" s="2" t="n">
        <v>252605</v>
      </c>
      <c r="M45" s="2" t="inlineStr">
        <is>
          <t>Avaliação de tempos real</t>
        </is>
      </c>
      <c r="N45" s="2" t="inlineStr">
        <is>
          <t>Elegível</t>
        </is>
      </c>
      <c r="O45" s="2" t="inlineStr">
        <is>
          <t>NAO ELEGIVEL COTA  APRENDIZ</t>
        </is>
      </c>
      <c r="P45" s="2" t="inlineStr">
        <is>
          <t>CLT</t>
        </is>
      </c>
      <c r="Q45" s="2" t="inlineStr">
        <is>
          <t>Preponderante</t>
        </is>
      </c>
      <c r="R45" s="2" t="inlineStr">
        <is>
          <t>Elementares</t>
        </is>
      </c>
      <c r="S45" s="2" t="inlineStr">
        <is>
          <t>Avaliar a prestacao de servicos e manter contato com os Fornecedores de vigilância e monitoramento. Administrar o sistema de seguranca patrimonial, proporcionando a correta execucao dos servicos bem como o seu pagamento. Analisar os pedidos de vigilancia da Organizacao, visando garantir a seguranca com base nas normas corporativas.</t>
        </is>
      </c>
      <c r="T45" s="2" t="inlineStr">
        <is>
          <t>IE.26.008.P20</t>
        </is>
      </c>
      <c r="U45" s="2" t="inlineStr">
        <is>
          <t>IE.26.008.P20</t>
        </is>
      </c>
    </row>
    <row r="46">
      <c r="A46" s="2" t="inlineStr">
        <is>
          <t>HOLDING</t>
        </is>
      </c>
      <c r="B46" s="2" t="inlineStr">
        <is>
          <t>HOLDING</t>
        </is>
      </c>
      <c r="C46" s="2" t="n">
        <v>6110012</v>
      </c>
      <c r="D46" s="2" t="inlineStr">
        <is>
          <t>ANALISTA SEGURANCA PL</t>
        </is>
      </c>
      <c r="E46" s="2" t="n">
        <v>6</v>
      </c>
      <c r="F46" s="2" t="inlineStr">
        <is>
          <t>ATIVO</t>
        </is>
      </c>
      <c r="G46" s="2" t="inlineStr">
        <is>
          <t>Corporativo</t>
        </is>
      </c>
      <c r="H46" s="2" t="inlineStr">
        <is>
          <t>Administração &amp; Serviços</t>
        </is>
      </c>
      <c r="I46" s="2" t="inlineStr">
        <is>
          <t>Serviços administrativos</t>
        </is>
      </c>
      <c r="J46" s="2" t="inlineStr">
        <is>
          <t>Analista</t>
        </is>
      </c>
      <c r="K46" s="2" t="inlineStr">
        <is>
          <t>Analista Jr</t>
        </is>
      </c>
      <c r="L46" s="2" t="n">
        <v>252605</v>
      </c>
      <c r="M46" s="2" t="inlineStr">
        <is>
          <t>Avaliação de tempos real</t>
        </is>
      </c>
      <c r="N46" s="2" t="inlineStr">
        <is>
          <t>Elegível</t>
        </is>
      </c>
      <c r="O46" s="2" t="inlineStr">
        <is>
          <t>NAO ELEGIVEL COTA  APRENDIZ</t>
        </is>
      </c>
      <c r="P46" s="2" t="inlineStr">
        <is>
          <t>CLT</t>
        </is>
      </c>
      <c r="Q46" s="2" t="inlineStr">
        <is>
          <t>Preponderante</t>
        </is>
      </c>
      <c r="R46" s="2" t="inlineStr">
        <is>
          <t>Elementares</t>
        </is>
      </c>
      <c r="S46" s="2" t="inlineStr">
        <is>
          <t>Avaliar a prestacao de servicos e manter contato com os Fornecedores de vigilância e monitoramento. Administrar o sistema de seguranca patrimonial, proporcionando a correta execucao dos servicos bem como o seu pagamento. Analisar os pedidos de vigilancia da Organizacao, visando garantir a seguranca com base nas normas corporativas.</t>
        </is>
      </c>
      <c r="T46" s="2" t="inlineStr">
        <is>
          <t>IE.26.002.S20</t>
        </is>
      </c>
      <c r="U46" s="2" t="inlineStr">
        <is>
          <t>IE.26.002.S20</t>
        </is>
      </c>
    </row>
    <row r="47">
      <c r="A47" s="2" t="inlineStr">
        <is>
          <t>HOLDING</t>
        </is>
      </c>
      <c r="B47" s="2" t="inlineStr">
        <is>
          <t>HOLDING</t>
        </is>
      </c>
      <c r="C47" s="2" t="n">
        <v>6109227</v>
      </c>
      <c r="D47" s="2" t="inlineStr">
        <is>
          <t>ASSISTENTE ADMINISTRATIVO III</t>
        </is>
      </c>
      <c r="E47" s="2" t="n">
        <v>6</v>
      </c>
      <c r="F47" s="2" t="inlineStr">
        <is>
          <t>ATIVO</t>
        </is>
      </c>
      <c r="G47" s="2" t="inlineStr">
        <is>
          <t>Corporativo</t>
        </is>
      </c>
      <c r="H47" s="2" t="inlineStr">
        <is>
          <t>Administração &amp; Serviços</t>
        </is>
      </c>
      <c r="I47" s="2" t="inlineStr">
        <is>
          <t>Serviços administrativos</t>
        </is>
      </c>
      <c r="J47" s="2" t="inlineStr">
        <is>
          <t>Assistente</t>
        </is>
      </c>
      <c r="K47" s="2" t="inlineStr">
        <is>
          <t>Assistente</t>
        </is>
      </c>
      <c r="L47" s="2" t="n">
        <v>411010</v>
      </c>
      <c r="M47" s="2" t="inlineStr">
        <is>
          <t>Avaliação de tempos real</t>
        </is>
      </c>
      <c r="N47" s="2" t="inlineStr">
        <is>
          <t>Elegível</t>
        </is>
      </c>
      <c r="O47" s="2" t="inlineStr">
        <is>
          <t>ELEGIVEL COTA APRENDIZ</t>
        </is>
      </c>
      <c r="P47" s="2" t="inlineStr">
        <is>
          <t>CLT</t>
        </is>
      </c>
      <c r="Q47" s="2" t="inlineStr">
        <is>
          <t>Preponderante</t>
        </is>
      </c>
      <c r="R47" s="2" t="inlineStr">
        <is>
          <t>Elementares</t>
        </is>
      </c>
      <c r="S47" s="2" t="inlineStr">
        <is>
          <t>Executar servicos de apoio as diversas areas da Organizacao atendem fornecedores e clientes, fornecendo e recebendo informacoes sobre produtos e servicos tratam de documentos variados, cumprindo todo o procedimento necessario referente aos mesmos.</t>
        </is>
      </c>
      <c r="T47" s="2" t="inlineStr">
        <is>
          <t>IE.26.008.P10</t>
        </is>
      </c>
      <c r="U47" s="2" t="inlineStr">
        <is>
          <t>IE.26.008.P10</t>
        </is>
      </c>
    </row>
    <row r="48">
      <c r="A48" s="2" t="inlineStr">
        <is>
          <t>HOLDING</t>
        </is>
      </c>
      <c r="B48" s="2" t="inlineStr">
        <is>
          <t>HOLDING</t>
        </is>
      </c>
      <c r="C48" s="2" t="n">
        <v>6110013</v>
      </c>
      <c r="D48" s="2" t="inlineStr">
        <is>
          <t>ANALISTA SEGURANCA JR</t>
        </is>
      </c>
      <c r="E48" s="2" t="n">
        <v>5</v>
      </c>
      <c r="F48" s="2" t="inlineStr">
        <is>
          <t>ATIVO</t>
        </is>
      </c>
      <c r="G48" s="2" t="inlineStr">
        <is>
          <t>Corporativo</t>
        </is>
      </c>
      <c r="H48" s="2" t="inlineStr">
        <is>
          <t>Administração &amp; Serviços</t>
        </is>
      </c>
      <c r="I48" s="2" t="inlineStr">
        <is>
          <t>Serviços administrativos</t>
        </is>
      </c>
      <c r="J48" s="2" t="inlineStr">
        <is>
          <t>Analista</t>
        </is>
      </c>
      <c r="K48" s="2" t="inlineStr">
        <is>
          <t>Assistente</t>
        </is>
      </c>
      <c r="L48" s="2" t="n">
        <v>252605</v>
      </c>
      <c r="M48" s="2" t="inlineStr">
        <is>
          <t>Avaliação de tempos real</t>
        </is>
      </c>
      <c r="N48" s="2" t="inlineStr">
        <is>
          <t>Elegível</t>
        </is>
      </c>
      <c r="O48" s="2" t="inlineStr">
        <is>
          <t>NAO ELEGIVEL COTA  APRENDIZ</t>
        </is>
      </c>
      <c r="P48" s="2" t="inlineStr">
        <is>
          <t>CLT</t>
        </is>
      </c>
      <c r="Q48" s="2" t="inlineStr">
        <is>
          <t>Preponderante</t>
        </is>
      </c>
      <c r="R48" s="2" t="inlineStr">
        <is>
          <t>Elementares</t>
        </is>
      </c>
      <c r="S48" s="2" t="inlineStr">
        <is>
          <t>Avaliar a prestacao de servicos e manter contato com os Fornecedores de vigilância e monitoramento. Administrar o sistema de seguranca patrimonial, proporcionando a correta execucao dos servicos bem como o seu pagamento. Analisar os pedidos de vigilancia da Organizacao, visando garantir a seguranca com base nas normas corporativas.</t>
        </is>
      </c>
      <c r="T48" s="2" t="inlineStr">
        <is>
          <t>IE.26.002.S20</t>
        </is>
      </c>
      <c r="U48" s="2" t="inlineStr">
        <is>
          <t>IE.26.002.S20</t>
        </is>
      </c>
    </row>
    <row r="49">
      <c r="A49" s="2" t="inlineStr">
        <is>
          <t>HOLDING</t>
        </is>
      </c>
      <c r="B49" s="2" t="inlineStr">
        <is>
          <t>HOLDING</t>
        </is>
      </c>
      <c r="C49" s="2" t="n">
        <v>6103579</v>
      </c>
      <c r="D49" s="2" t="inlineStr">
        <is>
          <t>ASSISTENTE ADMINISTRATIVO II</t>
        </is>
      </c>
      <c r="E49" s="2" t="n">
        <v>5</v>
      </c>
      <c r="F49" s="2" t="inlineStr">
        <is>
          <t>ATIVO</t>
        </is>
      </c>
      <c r="G49" s="2" t="inlineStr">
        <is>
          <t>Corporativo</t>
        </is>
      </c>
      <c r="H49" s="2" t="inlineStr">
        <is>
          <t>Administração &amp; Serviços</t>
        </is>
      </c>
      <c r="I49" s="2" t="inlineStr">
        <is>
          <t>Serviços administrativos</t>
        </is>
      </c>
      <c r="J49" s="2" t="inlineStr">
        <is>
          <t>Assistente</t>
        </is>
      </c>
      <c r="K49" s="2" t="inlineStr">
        <is>
          <t>Assistente</t>
        </is>
      </c>
      <c r="L49" s="2" t="n">
        <v>411010</v>
      </c>
      <c r="M49" s="2" t="inlineStr">
        <is>
          <t>Avaliação de tempos real</t>
        </is>
      </c>
      <c r="N49" s="2" t="inlineStr">
        <is>
          <t>Elegível</t>
        </is>
      </c>
      <c r="O49" s="2" t="inlineStr">
        <is>
          <t>ELEGIVEL COTA APRENDIZ</t>
        </is>
      </c>
      <c r="P49" s="2" t="inlineStr">
        <is>
          <t>CLT</t>
        </is>
      </c>
      <c r="Q49" s="2" t="inlineStr">
        <is>
          <t>Preponderante</t>
        </is>
      </c>
      <c r="R49" s="2" t="inlineStr">
        <is>
          <t>Elementares</t>
        </is>
      </c>
      <c r="S49" s="2" t="inlineStr">
        <is>
          <t>Executar servicos de apoio as diversas areas da Organizacao atendem fornecedores e clientes, fornecendo e recebendo informacoes sobre produtos e servicos tratam de documentos variados, cumprindo todo o procedimento necessario referente aos mesmos.</t>
        </is>
      </c>
      <c r="T49" s="2" t="inlineStr">
        <is>
          <t>IE.26.002.S20</t>
        </is>
      </c>
      <c r="U49" s="2" t="inlineStr">
        <is>
          <t>IE.26.002.S20</t>
        </is>
      </c>
    </row>
    <row r="50">
      <c r="A50" s="2" t="inlineStr">
        <is>
          <t>HOLDING</t>
        </is>
      </c>
      <c r="B50" s="2" t="inlineStr">
        <is>
          <t>HOLDING</t>
        </is>
      </c>
      <c r="C50" s="2" t="n">
        <v>6103578</v>
      </c>
      <c r="D50" s="2" t="inlineStr">
        <is>
          <t>ASSISTENTE ADMINISTRATIVO I</t>
        </is>
      </c>
      <c r="E50" s="2" t="n">
        <v>4</v>
      </c>
      <c r="F50" s="2" t="inlineStr">
        <is>
          <t>ATIVO</t>
        </is>
      </c>
      <c r="G50" s="2" t="inlineStr">
        <is>
          <t>Corporativo</t>
        </is>
      </c>
      <c r="H50" s="2" t="inlineStr">
        <is>
          <t>Administração &amp; Serviços</t>
        </is>
      </c>
      <c r="I50" s="2" t="inlineStr">
        <is>
          <t>Serviços administrativos</t>
        </is>
      </c>
      <c r="J50" s="2" t="inlineStr">
        <is>
          <t>Assistente</t>
        </is>
      </c>
      <c r="K50" s="2" t="inlineStr">
        <is>
          <t>Assistente</t>
        </is>
      </c>
      <c r="L50" s="2" t="n">
        <v>411010</v>
      </c>
      <c r="M50" s="2" t="inlineStr">
        <is>
          <t>Avaliação de tempos real</t>
        </is>
      </c>
      <c r="N50" s="2" t="inlineStr">
        <is>
          <t>Elegível</t>
        </is>
      </c>
      <c r="O50" s="2" t="inlineStr">
        <is>
          <t>ELEGIVEL COTA APRENDIZ</t>
        </is>
      </c>
      <c r="P50" s="2" t="inlineStr">
        <is>
          <t>CLT</t>
        </is>
      </c>
      <c r="Q50" s="2" t="inlineStr">
        <is>
          <t>Preponderante</t>
        </is>
      </c>
      <c r="R50" s="2" t="inlineStr">
        <is>
          <t>Elementares</t>
        </is>
      </c>
      <c r="S50" s="2" t="inlineStr">
        <is>
          <t>Executar servicos de apoio as diversas areas da Organizacao atendem fornecedores e clientes, fornecendo e recebendo informacoes sobre produtos e servicos tratam de documentos variados, cumprindo todo o procedimento necessario referente aos mesmos.</t>
        </is>
      </c>
      <c r="T50" s="2" t="n">
        <v/>
      </c>
      <c r="U50" s="2" t="n">
        <v/>
      </c>
    </row>
    <row r="51">
      <c r="A51" s="2" t="inlineStr">
        <is>
          <t>HOLDING</t>
        </is>
      </c>
      <c r="B51" s="2" t="inlineStr">
        <is>
          <t>HOLDING</t>
        </is>
      </c>
      <c r="C51" s="2" t="n">
        <v>6102344</v>
      </c>
      <c r="D51" s="2" t="inlineStr">
        <is>
          <t>AUXILIAR ADMINISTRATIVO</t>
        </is>
      </c>
      <c r="E51" s="2" t="n">
        <v>2</v>
      </c>
      <c r="F51" s="2" t="inlineStr">
        <is>
          <t>ATIVO</t>
        </is>
      </c>
      <c r="G51" s="2" t="inlineStr">
        <is>
          <t>Corporativo</t>
        </is>
      </c>
      <c r="H51" s="2" t="inlineStr">
        <is>
          <t>Administração &amp; Serviços</t>
        </is>
      </c>
      <c r="I51" s="2" t="inlineStr">
        <is>
          <t>Serviços administrativos</t>
        </is>
      </c>
      <c r="J51" s="2" t="inlineStr">
        <is>
          <t>Auxiliar</t>
        </is>
      </c>
      <c r="K51" s="2" t="inlineStr">
        <is>
          <t>Auxiliar</t>
        </is>
      </c>
      <c r="L51" s="2" t="n">
        <v>411010</v>
      </c>
      <c r="M51" s="2" t="inlineStr">
        <is>
          <t>Avaliação de tempos real</t>
        </is>
      </c>
      <c r="N51" s="2" t="inlineStr">
        <is>
          <t>Elegível</t>
        </is>
      </c>
      <c r="O51" s="2" t="inlineStr">
        <is>
          <t>ELEGIVEL COTA APRENDIZ</t>
        </is>
      </c>
      <c r="P51" s="2" t="inlineStr">
        <is>
          <t>CLT</t>
        </is>
      </c>
      <c r="Q51" s="2" t="inlineStr">
        <is>
          <t>Preponderante</t>
        </is>
      </c>
      <c r="R51" s="2" t="inlineStr">
        <is>
          <t>Elementares</t>
        </is>
      </c>
      <c r="S51" s="2" t="inlineStr">
        <is>
          <t>Prestar suporte a equipe, sob supervisao, realizando atividades administrativas, visando assegurar o cumprimento das normas e procedimentos internos.</t>
        </is>
      </c>
      <c r="T51" s="2" t="inlineStr">
        <is>
          <t>IE.26.002.S10</t>
        </is>
      </c>
      <c r="U51" s="2" t="inlineStr">
        <is>
          <t>IE.26.002.S10</t>
        </is>
      </c>
    </row>
    <row r="52">
      <c r="A52" s="2" t="inlineStr">
        <is>
          <t>MEDSERVICE</t>
        </is>
      </c>
      <c r="B52" s="2" t="inlineStr">
        <is>
          <t>MEDSERVICE</t>
        </is>
      </c>
      <c r="C52" s="2" t="n">
        <v>10209227</v>
      </c>
      <c r="D52" s="2" t="inlineStr">
        <is>
          <t>ASSISTENTE ADMINISTRATIVO III</t>
        </is>
      </c>
      <c r="E52" s="2" t="n">
        <v>6</v>
      </c>
      <c r="F52" s="2" t="inlineStr">
        <is>
          <t>ATIVO</t>
        </is>
      </c>
      <c r="G52" s="2" t="inlineStr">
        <is>
          <t>Corporativo</t>
        </is>
      </c>
      <c r="H52" s="2" t="inlineStr">
        <is>
          <t>Administração &amp; Serviços</t>
        </is>
      </c>
      <c r="I52" s="2" t="inlineStr">
        <is>
          <t>Serviços administrativos</t>
        </is>
      </c>
      <c r="J52" s="2" t="inlineStr">
        <is>
          <t>Assistente</t>
        </is>
      </c>
      <c r="K52" s="2" t="inlineStr">
        <is>
          <t>Assistente</t>
        </is>
      </c>
      <c r="L52" s="2" t="n">
        <v>411010</v>
      </c>
      <c r="M52" s="2" t="inlineStr">
        <is>
          <t>Avaliação de tempos real</t>
        </is>
      </c>
      <c r="N52" s="2" t="inlineStr">
        <is>
          <t>Elegível</t>
        </is>
      </c>
      <c r="O52" s="2" t="inlineStr">
        <is>
          <t>ELEGIVEL COTA APRENDIZ</t>
        </is>
      </c>
      <c r="P52" s="2" t="inlineStr">
        <is>
          <t>CLT</t>
        </is>
      </c>
      <c r="Q52" s="2" t="inlineStr">
        <is>
          <t>Preponderante</t>
        </is>
      </c>
      <c r="R52" s="2" t="inlineStr">
        <is>
          <t>Saúde</t>
        </is>
      </c>
      <c r="S52" s="2" t="inlineStr">
        <is>
          <t>Executar servicos de apoio as diversas areas da Organizacao atendem fornecedores e clientes, fornecendo e recebendo informacoes sobre produtos e servicos tratam de documentos variados, cumprindo todo o procedimento necessario referente aos mesmos.</t>
        </is>
      </c>
      <c r="T52" s="2" t="inlineStr">
        <is>
          <t>IE.26.002.S20</t>
        </is>
      </c>
      <c r="U52" s="2" t="inlineStr">
        <is>
          <t>IE.26.002.S20</t>
        </is>
      </c>
    </row>
    <row r="53">
      <c r="A53" s="2" t="inlineStr">
        <is>
          <t>MEDSERVICE</t>
        </is>
      </c>
      <c r="B53" s="2" t="inlineStr">
        <is>
          <t>MEDSERVICE</t>
        </is>
      </c>
      <c r="C53" s="2" t="n">
        <v>10203579</v>
      </c>
      <c r="D53" s="2" t="inlineStr">
        <is>
          <t>ASSISTENTE ADMINISTRATIVO II</t>
        </is>
      </c>
      <c r="E53" s="2" t="n">
        <v>5</v>
      </c>
      <c r="F53" s="2" t="inlineStr">
        <is>
          <t>ATIVO</t>
        </is>
      </c>
      <c r="G53" s="2" t="inlineStr">
        <is>
          <t>Corporativo</t>
        </is>
      </c>
      <c r="H53" s="2" t="inlineStr">
        <is>
          <t>Administração &amp; Serviços</t>
        </is>
      </c>
      <c r="I53" s="2" t="inlineStr">
        <is>
          <t>Serviços administrativos</t>
        </is>
      </c>
      <c r="J53" s="2" t="inlineStr">
        <is>
          <t>Assistente</t>
        </is>
      </c>
      <c r="K53" s="2" t="inlineStr">
        <is>
          <t>Assistente</t>
        </is>
      </c>
      <c r="L53" s="2" t="n">
        <v>411010</v>
      </c>
      <c r="M53" s="2" t="inlineStr">
        <is>
          <t>Avaliação de tempos real</t>
        </is>
      </c>
      <c r="N53" s="2" t="inlineStr">
        <is>
          <t>Elegível</t>
        </is>
      </c>
      <c r="O53" s="2" t="inlineStr">
        <is>
          <t>ELEGIVEL COTA APRENDIZ</t>
        </is>
      </c>
      <c r="P53" s="2" t="inlineStr">
        <is>
          <t>CLT</t>
        </is>
      </c>
      <c r="Q53" s="2" t="inlineStr">
        <is>
          <t>Preponderante</t>
        </is>
      </c>
      <c r="R53" s="2" t="inlineStr">
        <is>
          <t>Saúde</t>
        </is>
      </c>
      <c r="S53" s="2" t="inlineStr">
        <is>
          <t>Executar servicos de apoio as diversas areas da Organizacao atendem fornecedores e clientes, fornecendo e recebendo informacoes sobre produtos e servicos tratam de documentos variados, cumprindo todo o procedimento necessario referente aos mesmos.</t>
        </is>
      </c>
      <c r="T53" s="2" t="inlineStr">
        <is>
          <t>IE.26.002.S20</t>
        </is>
      </c>
      <c r="U53" s="2" t="inlineStr">
        <is>
          <t>IE.26.002.S20</t>
        </is>
      </c>
    </row>
    <row r="54">
      <c r="A54" s="2" t="inlineStr">
        <is>
          <t>MEDSERVICE</t>
        </is>
      </c>
      <c r="B54" s="2" t="inlineStr">
        <is>
          <t>MEDSERVICE</t>
        </is>
      </c>
      <c r="C54" s="2" t="n">
        <v>10203578</v>
      </c>
      <c r="D54" s="2" t="inlineStr">
        <is>
          <t>ASSISTENTE ADMINISTRATIVO I</t>
        </is>
      </c>
      <c r="E54" s="2" t="n">
        <v>4</v>
      </c>
      <c r="F54" s="2" t="inlineStr">
        <is>
          <t>ATIVO</t>
        </is>
      </c>
      <c r="G54" s="2" t="inlineStr">
        <is>
          <t>Corporativo</t>
        </is>
      </c>
      <c r="H54" s="2" t="inlineStr">
        <is>
          <t>Administração &amp; Serviços</t>
        </is>
      </c>
      <c r="I54" s="2" t="inlineStr">
        <is>
          <t>Serviços administrativos</t>
        </is>
      </c>
      <c r="J54" s="2" t="inlineStr">
        <is>
          <t>Assistente</t>
        </is>
      </c>
      <c r="K54" s="2" t="inlineStr">
        <is>
          <t>Assistente</t>
        </is>
      </c>
      <c r="L54" s="2" t="n">
        <v>411010</v>
      </c>
      <c r="M54" s="2" t="inlineStr">
        <is>
          <t>Avaliação de tempos real</t>
        </is>
      </c>
      <c r="N54" s="2" t="inlineStr">
        <is>
          <t>Elegível</t>
        </is>
      </c>
      <c r="O54" s="2" t="inlineStr">
        <is>
          <t>ELEGIVEL COTA APRENDIZ</t>
        </is>
      </c>
      <c r="P54" s="2" t="inlineStr">
        <is>
          <t>CLT</t>
        </is>
      </c>
      <c r="Q54" s="2" t="inlineStr">
        <is>
          <t>Preponderante</t>
        </is>
      </c>
      <c r="R54" s="2" t="inlineStr">
        <is>
          <t>Saúde</t>
        </is>
      </c>
      <c r="S54" s="2" t="inlineStr">
        <is>
          <t>Executar servicos de apoio as diversas areas da Organizacao atendem fornecedores e clientes, fornecendo e recebendo informacoes sobre produtos e servicos tratam de documentos variados, cumprindo todo o procedimento necessario referente aos mesmos.</t>
        </is>
      </c>
      <c r="T54" s="2" t="inlineStr">
        <is>
          <t>IE.26.002.S20</t>
        </is>
      </c>
      <c r="U54" s="2" t="inlineStr">
        <is>
          <t>IE.26.002.S20</t>
        </is>
      </c>
    </row>
    <row r="55">
      <c r="A55" s="2" t="inlineStr">
        <is>
          <t>MEDSERVICE</t>
        </is>
      </c>
      <c r="B55" s="2" t="inlineStr">
        <is>
          <t>MEDSERVICE</t>
        </is>
      </c>
      <c r="C55" s="2" t="n">
        <v>10202344</v>
      </c>
      <c r="D55" s="2" t="inlineStr">
        <is>
          <t>AUXILIAR ADMINISTRATIVO</t>
        </is>
      </c>
      <c r="E55" s="2" t="n">
        <v>2</v>
      </c>
      <c r="F55" s="2" t="inlineStr">
        <is>
          <t>ATIVO</t>
        </is>
      </c>
      <c r="G55" s="2" t="inlineStr">
        <is>
          <t>Corporativo</t>
        </is>
      </c>
      <c r="H55" s="2" t="inlineStr">
        <is>
          <t>Administração &amp; Serviços</t>
        </is>
      </c>
      <c r="I55" s="2" t="inlineStr">
        <is>
          <t>Serviços administrativos</t>
        </is>
      </c>
      <c r="J55" s="2" t="inlineStr">
        <is>
          <t>Auxiliar</t>
        </is>
      </c>
      <c r="K55" s="2" t="inlineStr">
        <is>
          <t>Auxiliar</t>
        </is>
      </c>
      <c r="L55" s="2" t="n">
        <v>411010</v>
      </c>
      <c r="M55" s="2" t="inlineStr">
        <is>
          <t>Avaliação de tempos real</t>
        </is>
      </c>
      <c r="N55" s="2" t="inlineStr">
        <is>
          <t>Elegível</t>
        </is>
      </c>
      <c r="O55" s="2" t="inlineStr">
        <is>
          <t>ELEGIVEL COTA APRENDIZ</t>
        </is>
      </c>
      <c r="P55" s="2" t="inlineStr">
        <is>
          <t>CLT</t>
        </is>
      </c>
      <c r="Q55" s="2" t="inlineStr">
        <is>
          <t>Preponderante</t>
        </is>
      </c>
      <c r="R55" s="2" t="inlineStr">
        <is>
          <t>Saúde</t>
        </is>
      </c>
      <c r="S55" s="2" t="inlineStr">
        <is>
          <t>Prestar suporte a equipe, sob supervisao, realizando atividades administrativas, visando assegurar o cumprimento das normas e procedimentos internos.</t>
        </is>
      </c>
      <c r="T55" s="2" t="inlineStr">
        <is>
          <t>IE.26.002.S10</t>
        </is>
      </c>
      <c r="U55" s="2" t="inlineStr">
        <is>
          <t>IE.26.002.S10</t>
        </is>
      </c>
    </row>
    <row r="56">
      <c r="A56" s="2" t="inlineStr">
        <is>
          <t>NOVAMED</t>
        </is>
      </c>
      <c r="B56" s="2" t="inlineStr">
        <is>
          <t>NOVAMED</t>
        </is>
      </c>
      <c r="C56" s="2" t="n">
        <v>11609227</v>
      </c>
      <c r="D56" s="2" t="inlineStr">
        <is>
          <t>ASSISTENTE ADMINISTRATIVO III</t>
        </is>
      </c>
      <c r="E56" s="2" t="n">
        <v>6</v>
      </c>
      <c r="F56" s="2" t="inlineStr">
        <is>
          <t>ATIVO</t>
        </is>
      </c>
      <c r="G56" s="2" t="inlineStr">
        <is>
          <t>Corporativo</t>
        </is>
      </c>
      <c r="H56" s="2" t="inlineStr">
        <is>
          <t>Administração &amp; Serviços</t>
        </is>
      </c>
      <c r="I56" s="2" t="inlineStr">
        <is>
          <t>Serviços administrativos</t>
        </is>
      </c>
      <c r="J56" s="2" t="inlineStr">
        <is>
          <t>Assistente</t>
        </is>
      </c>
      <c r="K56" s="2" t="inlineStr">
        <is>
          <t>Assistente</t>
        </is>
      </c>
      <c r="L56" s="2" t="n">
        <v>411010</v>
      </c>
      <c r="M56" s="2" t="inlineStr">
        <is>
          <t>Avaliação de tempos real</t>
        </is>
      </c>
      <c r="N56" s="2" t="inlineStr">
        <is>
          <t>Elegível</t>
        </is>
      </c>
      <c r="O56" s="2" t="inlineStr">
        <is>
          <t>ELEGIVEL COTA APRENDIZ</t>
        </is>
      </c>
      <c r="P56" s="2" t="inlineStr">
        <is>
          <t>CLT</t>
        </is>
      </c>
      <c r="Q56" s="2" t="inlineStr">
        <is>
          <t>Preponderante</t>
        </is>
      </c>
      <c r="R56" s="2" t="inlineStr">
        <is>
          <t>Saúde</t>
        </is>
      </c>
      <c r="S56" s="2" t="inlineStr">
        <is>
          <t>Executar servicos de apoio as diversas areas da Organizacao atendem fornecedores e clientes, fornecendo e recebendo informacoes sobre produtos e servicos tratam de documentos variados, cumprindo todo o procedimento necessario referente aos mesmos.</t>
        </is>
      </c>
      <c r="T56" s="2" t="inlineStr">
        <is>
          <t>IE.26.002.S20</t>
        </is>
      </c>
      <c r="U56" s="2" t="inlineStr">
        <is>
          <t>IE.26.002.S20</t>
        </is>
      </c>
    </row>
    <row r="57">
      <c r="A57" s="2" t="inlineStr">
        <is>
          <t>NOVAMED</t>
        </is>
      </c>
      <c r="B57" s="2" t="inlineStr">
        <is>
          <t>NOVAMED</t>
        </is>
      </c>
      <c r="C57" s="2" t="n">
        <v>11603579</v>
      </c>
      <c r="D57" s="2" t="inlineStr">
        <is>
          <t>ASSISTENTE ADMINISTRATIVO II</t>
        </is>
      </c>
      <c r="E57" s="2" t="n">
        <v>5</v>
      </c>
      <c r="F57" s="2" t="inlineStr">
        <is>
          <t>ATIVO</t>
        </is>
      </c>
      <c r="G57" s="2" t="inlineStr">
        <is>
          <t>Corporativo</t>
        </is>
      </c>
      <c r="H57" s="2" t="inlineStr">
        <is>
          <t>Administração &amp; Serviços</t>
        </is>
      </c>
      <c r="I57" s="2" t="inlineStr">
        <is>
          <t>Serviços administrativos</t>
        </is>
      </c>
      <c r="J57" s="2" t="inlineStr">
        <is>
          <t>Assistente</t>
        </is>
      </c>
      <c r="K57" s="2" t="inlineStr">
        <is>
          <t>Assistente</t>
        </is>
      </c>
      <c r="L57" s="2" t="n">
        <v>411010</v>
      </c>
      <c r="M57" s="2" t="inlineStr">
        <is>
          <t>Avaliação de tempos real</t>
        </is>
      </c>
      <c r="N57" s="2" t="inlineStr">
        <is>
          <t>Elegível</t>
        </is>
      </c>
      <c r="O57" s="2" t="inlineStr">
        <is>
          <t>ELEGIVEL COTA APRENDIZ</t>
        </is>
      </c>
      <c r="P57" s="2" t="inlineStr">
        <is>
          <t>CLT</t>
        </is>
      </c>
      <c r="Q57" s="2" t="inlineStr">
        <is>
          <t>Preponderante</t>
        </is>
      </c>
      <c r="R57" s="2" t="inlineStr">
        <is>
          <t>Saúde</t>
        </is>
      </c>
      <c r="S57" s="2" t="inlineStr">
        <is>
          <t>Executar servicos de apoio as diversas areas da Organizacao atendem fornecedores e clientes, fornecendo e recebendo informacoes sobre produtos e servicos tratam de documentos variados, cumprindo todo o procedimento necessario referente aos mesmos.</t>
        </is>
      </c>
      <c r="T57" s="2" t="inlineStr">
        <is>
          <t>IE.26.002.S20</t>
        </is>
      </c>
      <c r="U57" s="2" t="inlineStr">
        <is>
          <t>IE.26.002.S20</t>
        </is>
      </c>
    </row>
    <row r="58">
      <c r="A58" s="2" t="inlineStr">
        <is>
          <t>NOVAMED</t>
        </is>
      </c>
      <c r="B58" s="2" t="inlineStr">
        <is>
          <t>NOVAMED</t>
        </is>
      </c>
      <c r="C58" s="2" t="n">
        <v>11603578</v>
      </c>
      <c r="D58" s="2" t="inlineStr">
        <is>
          <t>ASSISTENTE ADMINISTRATIVO I</t>
        </is>
      </c>
      <c r="E58" s="2" t="n">
        <v>4</v>
      </c>
      <c r="F58" s="2" t="inlineStr">
        <is>
          <t>ATIVO</t>
        </is>
      </c>
      <c r="G58" s="2" t="inlineStr">
        <is>
          <t>Corporativo</t>
        </is>
      </c>
      <c r="H58" s="2" t="inlineStr">
        <is>
          <t>Administração &amp; Serviços</t>
        </is>
      </c>
      <c r="I58" s="2" t="inlineStr">
        <is>
          <t>Serviços administrativos</t>
        </is>
      </c>
      <c r="J58" s="2" t="inlineStr">
        <is>
          <t>Assistente</t>
        </is>
      </c>
      <c r="K58" s="2" t="inlineStr">
        <is>
          <t>Assistente</t>
        </is>
      </c>
      <c r="L58" s="2" t="n">
        <v>411010</v>
      </c>
      <c r="M58" s="2" t="inlineStr">
        <is>
          <t>Avaliação de tempos real</t>
        </is>
      </c>
      <c r="N58" s="2" t="inlineStr">
        <is>
          <t>Elegível</t>
        </is>
      </c>
      <c r="O58" s="2" t="inlineStr">
        <is>
          <t>ELEGIVEL COTA APRENDIZ</t>
        </is>
      </c>
      <c r="P58" s="2" t="inlineStr">
        <is>
          <t>CLT</t>
        </is>
      </c>
      <c r="Q58" s="2" t="inlineStr">
        <is>
          <t>Preponderante</t>
        </is>
      </c>
      <c r="R58" s="2" t="inlineStr">
        <is>
          <t>Saúde</t>
        </is>
      </c>
      <c r="S58" s="2" t="inlineStr">
        <is>
          <t>Executar servicos de apoio as diversas areas da Organizacao atendem fornecedores e clientes, fornecendo e recebendo informacoes sobre produtos e servicos tratam de documentos variados, cumprindo todo o procedimento necessario referente aos mesmos.</t>
        </is>
      </c>
      <c r="T58" s="2" t="inlineStr">
        <is>
          <t>IE.26.002.S20</t>
        </is>
      </c>
      <c r="U58" s="2" t="inlineStr">
        <is>
          <t>IE.26.002.S20</t>
        </is>
      </c>
    </row>
    <row r="59">
      <c r="A59" s="2" t="inlineStr">
        <is>
          <t>NOVAMED</t>
        </is>
      </c>
      <c r="B59" s="2" t="inlineStr">
        <is>
          <t>NOVAMED</t>
        </is>
      </c>
      <c r="C59" s="2" t="n">
        <v>11602344</v>
      </c>
      <c r="D59" s="2" t="inlineStr">
        <is>
          <t>AUXILIAR ADMINISTRATIVO</t>
        </is>
      </c>
      <c r="E59" s="2" t="n">
        <v>2</v>
      </c>
      <c r="F59" s="2" t="inlineStr">
        <is>
          <t>ATIVO</t>
        </is>
      </c>
      <c r="G59" s="2" t="inlineStr">
        <is>
          <t>Corporativo</t>
        </is>
      </c>
      <c r="H59" s="2" t="inlineStr">
        <is>
          <t>Administração &amp; Serviços</t>
        </is>
      </c>
      <c r="I59" s="2" t="inlineStr">
        <is>
          <t>Serviços administrativos</t>
        </is>
      </c>
      <c r="J59" s="2" t="inlineStr">
        <is>
          <t>Auxiliar</t>
        </is>
      </c>
      <c r="K59" s="2" t="inlineStr">
        <is>
          <t>Auxiliar</t>
        </is>
      </c>
      <c r="L59" s="2" t="n">
        <v>411010</v>
      </c>
      <c r="M59" s="2" t="inlineStr">
        <is>
          <t>Avaliação de tempos real</t>
        </is>
      </c>
      <c r="N59" s="2" t="inlineStr">
        <is>
          <t>Elegível</t>
        </is>
      </c>
      <c r="O59" s="2" t="inlineStr">
        <is>
          <t>ELEGIVEL COTA APRENDIZ</t>
        </is>
      </c>
      <c r="P59" s="2" t="inlineStr">
        <is>
          <t>CLT</t>
        </is>
      </c>
      <c r="Q59" s="2" t="inlineStr">
        <is>
          <t>Preponderante</t>
        </is>
      </c>
      <c r="R59" s="2" t="inlineStr">
        <is>
          <t>Saúde</t>
        </is>
      </c>
      <c r="S59" s="2" t="inlineStr">
        <is>
          <t>Prestar suporte a equipe, sob supervisao, realizando atividades administrativas, visando assegurar o cumprimento das normas e procedimentos internos.</t>
        </is>
      </c>
      <c r="T59" s="2" t="inlineStr">
        <is>
          <t>IE.26.002.S10</t>
        </is>
      </c>
      <c r="U59" s="2" t="inlineStr">
        <is>
          <t>IE.26.002.S10</t>
        </is>
      </c>
    </row>
    <row r="60">
      <c r="A60" s="2" t="inlineStr">
        <is>
          <t>SAUDE</t>
        </is>
      </c>
      <c r="B60" s="2" t="inlineStr">
        <is>
          <t>SAUDE</t>
        </is>
      </c>
      <c r="C60" s="2" t="n">
        <v>6305918</v>
      </c>
      <c r="D60" s="2" t="inlineStr">
        <is>
          <t>GERENTE SUPORTE ADMINISTRATIVO</t>
        </is>
      </c>
      <c r="E60" s="2" t="n">
        <v>11</v>
      </c>
      <c r="F60" s="2" t="inlineStr">
        <is>
          <t>ATIVO</t>
        </is>
      </c>
      <c r="G60" s="2" t="inlineStr">
        <is>
          <t>Corporativo</t>
        </is>
      </c>
      <c r="H60" s="2" t="inlineStr">
        <is>
          <t>Administração &amp; Serviços</t>
        </is>
      </c>
      <c r="I60" s="2" t="inlineStr">
        <is>
          <t>Serviços administrativos</t>
        </is>
      </c>
      <c r="J60" s="2" t="inlineStr">
        <is>
          <t>GA</t>
        </is>
      </c>
      <c r="K60" s="2" t="inlineStr">
        <is>
          <t>GA</t>
        </is>
      </c>
      <c r="L60" s="2" t="n">
        <v>142105</v>
      </c>
      <c r="M60" s="2" t="inlineStr">
        <is>
          <t>Avaliação de tempos teórica</t>
        </is>
      </c>
      <c r="N60" s="2" t="inlineStr">
        <is>
          <t>Não elegível</t>
        </is>
      </c>
      <c r="O60" s="2" t="inlineStr">
        <is>
          <t>NAO ELEGIVEL COTA  APRENDIZ</t>
        </is>
      </c>
      <c r="P60" s="2" t="inlineStr">
        <is>
          <t>CLT</t>
        </is>
      </c>
      <c r="Q60" s="2" t="inlineStr">
        <is>
          <t>Preponderante</t>
        </is>
      </c>
      <c r="R60" s="2" t="inlineStr">
        <is>
          <t>Saúde</t>
        </is>
      </c>
      <c r="S60" s="2" t="inlineStr">
        <is>
          <t>Gerenciar, orientar e acompanhar todas as atividades pertinentes a suaarea de responsabilidade para garantir conformidade com as normas epoliticas da Organizacao. Subsidiar a Diretoria do Departamento cominformacoes gerenciais quando necessario para falicitar a tomada dedecisao. Acompanhar os processos de eficiencia operacional eplanejamento estrategico. Assegurar que os projetos da area sejamimplementados e acompanhar os processos de melhoria continua, bem comogarantir que as operacoes estejam dentro dos padroes de qualidade eseguranca da Organizacao.</t>
        </is>
      </c>
      <c r="T60" s="2" t="inlineStr">
        <is>
          <t>IE.26.002.M30</t>
        </is>
      </c>
      <c r="U60" s="2" t="inlineStr">
        <is>
          <t>IE.26.002.M30</t>
        </is>
      </c>
    </row>
    <row r="61">
      <c r="A61" s="2" t="inlineStr">
        <is>
          <t>SAUDE</t>
        </is>
      </c>
      <c r="B61" s="2" t="inlineStr">
        <is>
          <t>SAUDE</t>
        </is>
      </c>
      <c r="C61" s="2" t="n">
        <v>6305883</v>
      </c>
      <c r="D61" s="2" t="inlineStr">
        <is>
          <t>SUPERVISOR SUPORTE ADMINISTRATIVO</t>
        </is>
      </c>
      <c r="E61" s="2" t="n">
        <v>8</v>
      </c>
      <c r="F61" s="2" t="inlineStr">
        <is>
          <t>ATIVO</t>
        </is>
      </c>
      <c r="G61" s="2" t="inlineStr">
        <is>
          <t>Corporativo</t>
        </is>
      </c>
      <c r="H61" s="2" t="inlineStr">
        <is>
          <t>Administração &amp; Serviços</t>
        </is>
      </c>
      <c r="I61" s="2" t="inlineStr">
        <is>
          <t>Serviços administrativos</t>
        </is>
      </c>
      <c r="J61" s="2" t="inlineStr">
        <is>
          <t>Supervisor</t>
        </is>
      </c>
      <c r="K61" s="2" t="inlineStr">
        <is>
          <t>Supervisor Matriz</t>
        </is>
      </c>
      <c r="L61" s="2" t="n">
        <v>142105</v>
      </c>
      <c r="M61" s="2" t="inlineStr">
        <is>
          <t>Avaliação de tempos real</t>
        </is>
      </c>
      <c r="N61" s="2" t="inlineStr">
        <is>
          <t>Elegível</t>
        </is>
      </c>
      <c r="O61" s="2" t="inlineStr">
        <is>
          <t>NAO ELEGIVEL COTA  APRENDIZ</t>
        </is>
      </c>
      <c r="P61" s="2" t="inlineStr">
        <is>
          <t>CLT</t>
        </is>
      </c>
      <c r="Q61" s="2" t="inlineStr">
        <is>
          <t>Preponderante</t>
        </is>
      </c>
      <c r="R61" s="2" t="inlineStr">
        <is>
          <t>Saúde</t>
        </is>
      </c>
      <c r="S61" s="2" t="inlineStr">
        <is>
          <t>Supervisionar e orientar a equipe sob gestao, acompanhar e administrar aexecucao das atividades operacionais e administrativas, garantindo oatendimento das responsabilidades nos prazos estipulados.</t>
        </is>
      </c>
      <c r="T61" s="2" t="inlineStr">
        <is>
          <t>IE.26.002.M10</t>
        </is>
      </c>
      <c r="U61" s="2" t="inlineStr">
        <is>
          <t>IE.26.002.M10</t>
        </is>
      </c>
    </row>
    <row r="62">
      <c r="A62" s="2" t="inlineStr">
        <is>
          <t>SAUDE</t>
        </is>
      </c>
      <c r="B62" s="2" t="inlineStr">
        <is>
          <t>SAUDE</t>
        </is>
      </c>
      <c r="C62" s="2" t="n">
        <v>6309227</v>
      </c>
      <c r="D62" s="2" t="inlineStr">
        <is>
          <t>ASSISTENTE ADMINISTRATIVO III</t>
        </is>
      </c>
      <c r="E62" s="2" t="n">
        <v>6</v>
      </c>
      <c r="F62" s="2" t="inlineStr">
        <is>
          <t>ATIVO</t>
        </is>
      </c>
      <c r="G62" s="2" t="inlineStr">
        <is>
          <t>Corporativo</t>
        </is>
      </c>
      <c r="H62" s="2" t="inlineStr">
        <is>
          <t>Administração &amp; Serviços</t>
        </is>
      </c>
      <c r="I62" s="2" t="inlineStr">
        <is>
          <t>Serviços administrativos</t>
        </is>
      </c>
      <c r="J62" s="2" t="inlineStr">
        <is>
          <t>Assistente</t>
        </is>
      </c>
      <c r="K62" s="2" t="inlineStr">
        <is>
          <t>Assistente</t>
        </is>
      </c>
      <c r="L62" s="2" t="n">
        <v>411010</v>
      </c>
      <c r="M62" s="2" t="inlineStr">
        <is>
          <t>Avaliação de tempos real</t>
        </is>
      </c>
      <c r="N62" s="2" t="inlineStr">
        <is>
          <t>Elegível</t>
        </is>
      </c>
      <c r="O62" s="2" t="inlineStr">
        <is>
          <t>ELEGIVEL COTA APRENDIZ</t>
        </is>
      </c>
      <c r="P62" s="2" t="inlineStr">
        <is>
          <t>CLT</t>
        </is>
      </c>
      <c r="Q62" s="2" t="inlineStr">
        <is>
          <t>Preponderante</t>
        </is>
      </c>
      <c r="R62" s="2" t="inlineStr">
        <is>
          <t>Saúde</t>
        </is>
      </c>
      <c r="S62" s="2" t="inlineStr">
        <is>
          <t>Executar servicos de apoio as diversas areas da Organizacao atendemfornecedores e clientes, fornecendo e recebendo informacoes sobreprodutos e servicos tratam de documentos variados, cumprindo todo oprocedimento necessario referente aos mesmos.</t>
        </is>
      </c>
      <c r="T62" s="2" t="inlineStr">
        <is>
          <t>IE.26.002.S20</t>
        </is>
      </c>
      <c r="U62" s="2" t="inlineStr">
        <is>
          <t>IE.26.002.S20</t>
        </is>
      </c>
    </row>
    <row r="63">
      <c r="A63" s="2" t="inlineStr">
        <is>
          <t>SAUDE</t>
        </is>
      </c>
      <c r="B63" s="2" t="inlineStr">
        <is>
          <t>SAUDE</t>
        </is>
      </c>
      <c r="C63" s="2" t="n">
        <v>6303579</v>
      </c>
      <c r="D63" s="2" t="inlineStr">
        <is>
          <t>ASSISTENTE ADMINISTRATIVO II</t>
        </is>
      </c>
      <c r="E63" s="2" t="n">
        <v>5</v>
      </c>
      <c r="F63" s="2" t="inlineStr">
        <is>
          <t>ATIVO</t>
        </is>
      </c>
      <c r="G63" s="2" t="inlineStr">
        <is>
          <t>Corporativo</t>
        </is>
      </c>
      <c r="H63" s="2" t="inlineStr">
        <is>
          <t>Administração &amp; Serviços</t>
        </is>
      </c>
      <c r="I63" s="2" t="inlineStr">
        <is>
          <t>Serviços administrativos</t>
        </is>
      </c>
      <c r="J63" s="2" t="inlineStr">
        <is>
          <t>Assistente</t>
        </is>
      </c>
      <c r="K63" s="2" t="inlineStr">
        <is>
          <t>Assistente</t>
        </is>
      </c>
      <c r="L63" s="2" t="n">
        <v>411010</v>
      </c>
      <c r="M63" s="2" t="inlineStr">
        <is>
          <t>Avaliação de tempos real</t>
        </is>
      </c>
      <c r="N63" s="2" t="inlineStr">
        <is>
          <t>Elegível</t>
        </is>
      </c>
      <c r="O63" s="2" t="inlineStr">
        <is>
          <t>ELEGIVEL COTA APRENDIZ</t>
        </is>
      </c>
      <c r="P63" s="2" t="inlineStr">
        <is>
          <t>CLT</t>
        </is>
      </c>
      <c r="Q63" s="2" t="inlineStr">
        <is>
          <t>Preponderante</t>
        </is>
      </c>
      <c r="R63" s="2" t="inlineStr">
        <is>
          <t>Saúde</t>
        </is>
      </c>
      <c r="S63" s="2" t="inlineStr">
        <is>
          <t>Analisar propostas de licitações, despesas administrativas, cotaçõesde contratos e demais solicitações provenientes das sucursais/matriz daBradesco Saúde, visando emitir pareceres para decisão e/ou aprovação dachefia.</t>
        </is>
      </c>
      <c r="T63" s="2" t="inlineStr">
        <is>
          <t>IE.26.002.S20</t>
        </is>
      </c>
      <c r="U63" s="2" t="inlineStr">
        <is>
          <t>IE.26.002.S20</t>
        </is>
      </c>
    </row>
    <row r="64">
      <c r="A64" s="2" t="inlineStr">
        <is>
          <t>SAUDE</t>
        </is>
      </c>
      <c r="B64" s="2" t="inlineStr">
        <is>
          <t>SAUDE</t>
        </is>
      </c>
      <c r="C64" s="2" t="n">
        <v>6303578</v>
      </c>
      <c r="D64" s="2" t="inlineStr">
        <is>
          <t>ASSISTENTE ADMINISTRATIVO I</t>
        </is>
      </c>
      <c r="E64" s="2" t="n">
        <v>4</v>
      </c>
      <c r="F64" s="2" t="inlineStr">
        <is>
          <t>ATIVO</t>
        </is>
      </c>
      <c r="G64" s="2" t="inlineStr">
        <is>
          <t>Corporativo</t>
        </is>
      </c>
      <c r="H64" s="2" t="inlineStr">
        <is>
          <t>Administração &amp; Serviços</t>
        </is>
      </c>
      <c r="I64" s="2" t="inlineStr">
        <is>
          <t>Serviços administrativos</t>
        </is>
      </c>
      <c r="J64" s="2" t="inlineStr">
        <is>
          <t>Assistente</t>
        </is>
      </c>
      <c r="K64" s="2" t="inlineStr">
        <is>
          <t>Assistente</t>
        </is>
      </c>
      <c r="L64" s="2" t="n">
        <v>411010</v>
      </c>
      <c r="M64" s="2" t="inlineStr">
        <is>
          <t>Avaliação de tempos real</t>
        </is>
      </c>
      <c r="N64" s="2" t="inlineStr">
        <is>
          <t>Elegível</t>
        </is>
      </c>
      <c r="O64" s="2" t="inlineStr">
        <is>
          <t>ELEGIVEL COTA APRENDIZ</t>
        </is>
      </c>
      <c r="P64" s="2" t="inlineStr">
        <is>
          <t>CLT</t>
        </is>
      </c>
      <c r="Q64" s="2" t="inlineStr">
        <is>
          <t>Preponderante</t>
        </is>
      </c>
      <c r="R64" s="2" t="inlineStr">
        <is>
          <t>Saúde</t>
        </is>
      </c>
      <c r="S64" s="2" t="inlineStr">
        <is>
          <t>Executar servicos de apoio as diversas areas da Organizacao atendemfornecedores e clientes, fornecendo e recebendo informacoes sobreprodutos e servicos tratam de documentos variados, cumprindo todo oprocedimento necessario referente aos mesmos.</t>
        </is>
      </c>
      <c r="T64" s="2" t="inlineStr">
        <is>
          <t>IE.26.002.S20</t>
        </is>
      </c>
      <c r="U64" s="2" t="inlineStr">
        <is>
          <t>IE.26.002.S20</t>
        </is>
      </c>
    </row>
    <row r="65">
      <c r="A65" s="2" t="inlineStr">
        <is>
          <t>SAUDE</t>
        </is>
      </c>
      <c r="B65" s="2" t="inlineStr">
        <is>
          <t>SAUDE</t>
        </is>
      </c>
      <c r="C65" s="2" t="n">
        <v>6302344</v>
      </c>
      <c r="D65" s="2" t="inlineStr">
        <is>
          <t>AUXILIAR ADMINISTRATIVO</t>
        </is>
      </c>
      <c r="E65" s="2" t="n">
        <v>2</v>
      </c>
      <c r="F65" s="2" t="inlineStr">
        <is>
          <t>ATIVO</t>
        </is>
      </c>
      <c r="G65" s="2" t="inlineStr">
        <is>
          <t>Corporativo</t>
        </is>
      </c>
      <c r="H65" s="2" t="inlineStr">
        <is>
          <t>Administração &amp; Serviços</t>
        </is>
      </c>
      <c r="I65" s="2" t="inlineStr">
        <is>
          <t>Serviços administrativos</t>
        </is>
      </c>
      <c r="J65" s="2" t="inlineStr">
        <is>
          <t>Auxiliar</t>
        </is>
      </c>
      <c r="K65" s="2" t="inlineStr">
        <is>
          <t>Auxiliar</t>
        </is>
      </c>
      <c r="L65" s="2" t="n">
        <v>411010</v>
      </c>
      <c r="M65" s="2" t="inlineStr">
        <is>
          <t>Avaliação de tempos real</t>
        </is>
      </c>
      <c r="N65" s="2" t="inlineStr">
        <is>
          <t>Elegível</t>
        </is>
      </c>
      <c r="O65" s="2" t="inlineStr">
        <is>
          <t>ELEGIVEL COTA APRENDIZ</t>
        </is>
      </c>
      <c r="P65" s="2" t="inlineStr">
        <is>
          <t>CLT</t>
        </is>
      </c>
      <c r="Q65" s="2" t="inlineStr">
        <is>
          <t>Preponderante</t>
        </is>
      </c>
      <c r="R65" s="2" t="inlineStr">
        <is>
          <t>Saúde</t>
        </is>
      </c>
      <c r="S65" s="2" t="inlineStr">
        <is>
          <t>Prestar suporte a equipe, sob supervisao, realizando atividadesadministrativas, visando assegurar o cumprimento das normas eprocedimentos internos.</t>
        </is>
      </c>
      <c r="T65" s="2" t="inlineStr">
        <is>
          <t>IE.26.002.S10</t>
        </is>
      </c>
      <c r="U65" s="2" t="inlineStr">
        <is>
          <t>IE.26.002.S10</t>
        </is>
      </c>
    </row>
    <row r="66">
      <c r="A66" s="2" t="inlineStr">
        <is>
          <t>SAUDE OPERADORA</t>
        </is>
      </c>
      <c r="B66" s="2" t="inlineStr">
        <is>
          <t>APOR</t>
        </is>
      </c>
      <c r="C66" s="2" t="n">
        <v>402344</v>
      </c>
      <c r="D66" s="2" t="inlineStr">
        <is>
          <t>AUXILIAR ADMINISTRATIVO</t>
        </is>
      </c>
      <c r="E66" s="2" t="n">
        <v>2</v>
      </c>
      <c r="F66" s="2" t="inlineStr">
        <is>
          <t>ATIVO</t>
        </is>
      </c>
      <c r="G66" s="2" t="inlineStr">
        <is>
          <t>Corporativo</t>
        </is>
      </c>
      <c r="H66" s="2" t="inlineStr">
        <is>
          <t>Administração &amp; Serviços</t>
        </is>
      </c>
      <c r="I66" s="2" t="inlineStr">
        <is>
          <t>Serviços administrativos</t>
        </is>
      </c>
      <c r="J66" s="2" t="inlineStr">
        <is>
          <t>Auxiliar</t>
        </is>
      </c>
      <c r="K66" s="2" t="inlineStr">
        <is>
          <t>Auxiliar</t>
        </is>
      </c>
      <c r="L66" s="2" t="n">
        <v>411010</v>
      </c>
      <c r="M66" s="2" t="inlineStr">
        <is>
          <t>Avaliação de tempos real</t>
        </is>
      </c>
      <c r="N66" s="2" t="inlineStr">
        <is>
          <t>Elegível</t>
        </is>
      </c>
      <c r="O66" s="2" t="inlineStr">
        <is>
          <t>ELEGIVEL COTA APRENDIZ</t>
        </is>
      </c>
      <c r="P66" s="2" t="inlineStr">
        <is>
          <t>CLT</t>
        </is>
      </c>
      <c r="Q66" s="2" t="inlineStr">
        <is>
          <t>Preponderante</t>
        </is>
      </c>
      <c r="R66" s="2" t="inlineStr">
        <is>
          <t>Saúde</t>
        </is>
      </c>
      <c r="S66" s="2" t="inlineStr">
        <is>
          <t>Prestar suporte a equipe, sob supervisao, realizando atividades administrativas, visando assegurar o cumprimento das normas e procedimentos internos. C 00403336 GERENTE OPERACOES</t>
        </is>
      </c>
      <c r="T66" s="2" t="inlineStr">
        <is>
          <t>IE.26.002.S10</t>
        </is>
      </c>
      <c r="U66" s="2" t="inlineStr">
        <is>
          <t>IE.26.002.S10</t>
        </is>
      </c>
    </row>
    <row r="67">
      <c r="A67" s="2" t="inlineStr">
        <is>
          <t>HOLDING</t>
        </is>
      </c>
      <c r="B67" s="2" t="inlineStr">
        <is>
          <t>HOLDING</t>
        </is>
      </c>
      <c r="C67" s="2" t="n">
        <v>6110015</v>
      </c>
      <c r="D67" s="2" t="inlineStr">
        <is>
          <t>MOTORISTA EXECUTIVO II</t>
        </is>
      </c>
      <c r="E67" s="2" t="n">
        <v>5</v>
      </c>
      <c r="F67" s="2" t="inlineStr">
        <is>
          <t>ATIVO</t>
        </is>
      </c>
      <c r="G67" s="2" t="inlineStr">
        <is>
          <t>Corporativo</t>
        </is>
      </c>
      <c r="H67" s="2" t="inlineStr">
        <is>
          <t>Administração &amp; Serviços</t>
        </is>
      </c>
      <c r="I67" s="2" t="inlineStr">
        <is>
          <t>Serviços operacionais</t>
        </is>
      </c>
      <c r="J67" s="2" t="inlineStr">
        <is>
          <t>Analista</t>
        </is>
      </c>
      <c r="K67" s="2" t="inlineStr">
        <is>
          <t>Analista Jr</t>
        </is>
      </c>
      <c r="L67" s="2" t="n">
        <v>782305</v>
      </c>
      <c r="M67" s="2" t="inlineStr">
        <is>
          <t>Avaliação de tempos real</t>
        </is>
      </c>
      <c r="N67" s="2" t="inlineStr">
        <is>
          <t>Elegível</t>
        </is>
      </c>
      <c r="O67" s="2" t="inlineStr">
        <is>
          <t>ELEGIVEL COTA APRENDIZ</t>
        </is>
      </c>
      <c r="P67" s="2" t="inlineStr">
        <is>
          <t>CLT</t>
        </is>
      </c>
      <c r="Q67" s="2" t="inlineStr">
        <is>
          <t>Preponderante</t>
        </is>
      </c>
      <c r="R67" s="2" t="inlineStr">
        <is>
          <t>Elementares</t>
        </is>
      </c>
      <c r="S67" s="2" t="inlineStr">
        <is>
          <t>Dirigir, manobrar veiculos e transportar os Diretores da Organizacao, sendo responsaveis pela integridade fisica dos mesmos, alem de realizar verificacoes e manutencoes basicas do veiculo.</t>
        </is>
      </c>
      <c r="T67" s="2" t="inlineStr">
        <is>
          <t>IE.26.010.S20</t>
        </is>
      </c>
      <c r="U67" s="2" t="inlineStr">
        <is>
          <t>IE.26.010.S20</t>
        </is>
      </c>
    </row>
    <row r="68">
      <c r="A68" s="2" t="inlineStr">
        <is>
          <t>HOLDING</t>
        </is>
      </c>
      <c r="B68" s="2" t="inlineStr">
        <is>
          <t>HOLDING</t>
        </is>
      </c>
      <c r="C68" s="2" t="n">
        <v>6110014</v>
      </c>
      <c r="D68" s="2" t="inlineStr">
        <is>
          <t>MOTORISTA EXECUTIVO I</t>
        </is>
      </c>
      <c r="E68" s="2" t="n">
        <v>4</v>
      </c>
      <c r="F68" s="2" t="inlineStr">
        <is>
          <t>ATIVO</t>
        </is>
      </c>
      <c r="G68" s="2" t="inlineStr">
        <is>
          <t>Corporativo</t>
        </is>
      </c>
      <c r="H68" s="2" t="inlineStr">
        <is>
          <t>Administração &amp; Serviços</t>
        </is>
      </c>
      <c r="I68" s="2" t="inlineStr">
        <is>
          <t>Serviços operacionais</t>
        </is>
      </c>
      <c r="J68" s="2" t="inlineStr">
        <is>
          <t>Assistente</t>
        </is>
      </c>
      <c r="K68" s="2" t="inlineStr">
        <is>
          <t>Assistente</t>
        </is>
      </c>
      <c r="L68" s="2" t="n">
        <v>782305</v>
      </c>
      <c r="M68" s="2" t="inlineStr">
        <is>
          <t>Avaliação de tempos real</t>
        </is>
      </c>
      <c r="N68" s="2" t="inlineStr">
        <is>
          <t>Elegível</t>
        </is>
      </c>
      <c r="O68" s="2" t="inlineStr">
        <is>
          <t>ELEGIVEL COTA APRENDIZ</t>
        </is>
      </c>
      <c r="P68" s="2" t="inlineStr">
        <is>
          <t>CLT</t>
        </is>
      </c>
      <c r="Q68" s="2" t="inlineStr">
        <is>
          <t>Preponderante</t>
        </is>
      </c>
      <c r="R68" s="2" t="inlineStr">
        <is>
          <t>Elementares</t>
        </is>
      </c>
      <c r="S68" s="2" t="inlineStr">
        <is>
          <t>Conduzir a Presidencia do Conselho, Presidente Executivo, Membros do Conselho, Diretoria Executiva, e Diretores Departamentais aos eventos/compromissos da organizacao, realizar o atendimento atraves de Transporte Terrestre com veiculo executivo, bem como retirada e entrega de encomendas/documentos da organizacao e particulares de acordo com a solicitacao da Diretoria Executiva, a fim de atender a todas as demandas mantendo a total discricao e seguranca.</t>
        </is>
      </c>
      <c r="T68" s="2" t="inlineStr">
        <is>
          <t>IE.26.010.S20</t>
        </is>
      </c>
      <c r="U68" s="2" t="inlineStr">
        <is>
          <t>IE.26.010.S20</t>
        </is>
      </c>
    </row>
    <row r="69">
      <c r="A69" s="2" t="inlineStr">
        <is>
          <t>SAUDE</t>
        </is>
      </c>
      <c r="B69" s="2" t="inlineStr">
        <is>
          <t>SAUDE</t>
        </is>
      </c>
      <c r="C69" s="2" t="n">
        <v>6302726</v>
      </c>
      <c r="D69" s="2" t="inlineStr">
        <is>
          <t>MOTORISTA</t>
        </is>
      </c>
      <c r="E69" s="2" t="n">
        <v>2</v>
      </c>
      <c r="F69" s="2" t="inlineStr">
        <is>
          <t>ATIVO</t>
        </is>
      </c>
      <c r="G69" s="2" t="inlineStr">
        <is>
          <t>Corporativo</t>
        </is>
      </c>
      <c r="H69" s="2" t="inlineStr">
        <is>
          <t>Administração &amp; Serviços</t>
        </is>
      </c>
      <c r="I69" s="2" t="inlineStr">
        <is>
          <t>Serviços operacionais</t>
        </is>
      </c>
      <c r="J69" s="2" t="inlineStr">
        <is>
          <t>Auxiliar</t>
        </is>
      </c>
      <c r="K69" s="2" t="inlineStr">
        <is>
          <t>Auxiliar</t>
        </is>
      </c>
      <c r="L69" s="2" t="n">
        <v>782305</v>
      </c>
      <c r="M69" s="2" t="inlineStr">
        <is>
          <t>Avaliação de tempos real</t>
        </is>
      </c>
      <c r="N69" s="2" t="inlineStr">
        <is>
          <t>Elegível</t>
        </is>
      </c>
      <c r="O69" s="2" t="inlineStr">
        <is>
          <t>ELEGIVEL COTA APRENDIZ</t>
        </is>
      </c>
      <c r="P69" s="2" t="inlineStr">
        <is>
          <t>CLT</t>
        </is>
      </c>
      <c r="Q69" s="2" t="inlineStr">
        <is>
          <t>Preponderante</t>
        </is>
      </c>
      <c r="R69" s="2" t="inlineStr">
        <is>
          <t>Saúde</t>
        </is>
      </c>
      <c r="S69" s="2" t="inlineStr">
        <is>
          <t>Dirigir, manobrar veiculos e transportar os Diretores da Organizacao,sendo responsaveis pela integridade fisica dos mesmos, alem de realizarverificacoes e manutencoes basicas do veiculo.</t>
        </is>
      </c>
      <c r="T69" s="2" t="inlineStr">
        <is>
          <t>IE.26.010.S20</t>
        </is>
      </c>
      <c r="U69" s="2" t="inlineStr">
        <is>
          <t>IE.26.010.S20</t>
        </is>
      </c>
    </row>
    <row r="70">
      <c r="A70" s="2" t="inlineStr">
        <is>
          <t>BSP</t>
        </is>
      </c>
      <c r="B70" s="2" t="inlineStr">
        <is>
          <t>IMOBILIARIA</t>
        </is>
      </c>
      <c r="C70" s="2" t="n">
        <v>10610537</v>
      </c>
      <c r="D70" s="2" t="inlineStr">
        <is>
          <t>GERENTE ARQUITETURA</t>
        </is>
      </c>
      <c r="E70" s="2" t="n">
        <v>11</v>
      </c>
      <c r="F70" s="2" t="inlineStr">
        <is>
          <t>ATIVO</t>
        </is>
      </c>
      <c r="G70" s="2" t="inlineStr">
        <is>
          <t>Negócios &amp; operações</t>
        </is>
      </c>
      <c r="H70" s="2" t="inlineStr">
        <is>
          <t>Arquitetura &amp; Engenharia</t>
        </is>
      </c>
      <c r="I70" s="2" t="inlineStr">
        <is>
          <t>Arquitetura</t>
        </is>
      </c>
      <c r="J70" s="2" t="inlineStr">
        <is>
          <t>GA</t>
        </is>
      </c>
      <c r="K70" s="2" t="inlineStr">
        <is>
          <t>GA</t>
        </is>
      </c>
      <c r="L70" s="2" t="n">
        <v>142105</v>
      </c>
      <c r="M70" s="2" t="inlineStr">
        <is>
          <t>Avaliação de tempos teórica</t>
        </is>
      </c>
      <c r="N70" s="2" t="inlineStr">
        <is>
          <t>Não elegível</t>
        </is>
      </c>
      <c r="O70" s="2" t="inlineStr">
        <is>
          <t>NAO ELEGIVEL COTA  APRENDIZ</t>
        </is>
      </c>
      <c r="P70" s="2" t="inlineStr">
        <is>
          <t>CLT</t>
        </is>
      </c>
      <c r="Q70" s="2" t="inlineStr">
        <is>
          <t>Específico</t>
        </is>
      </c>
      <c r="R70" s="2" t="inlineStr">
        <is>
          <t>Empreendimentos</t>
        </is>
      </c>
      <c r="S70" s="2" t="inlineStr">
        <is>
          <t>Liderar as atividades das equipes sob sua gestao. Aprovar e validar osprojetos que envolvam planos de Engenharia e Arquitetura de obras daOrganizacao Bradesco.</t>
        </is>
      </c>
      <c r="T70" s="2" t="inlineStr">
        <is>
          <t>Sem matching</t>
        </is>
      </c>
      <c r="U70" s="2" t="n">
        <v/>
      </c>
    </row>
    <row r="71">
      <c r="A71" s="2" t="inlineStr">
        <is>
          <t>BSP</t>
        </is>
      </c>
      <c r="B71" s="2" t="inlineStr">
        <is>
          <t>IMOBILIARIA</t>
        </is>
      </c>
      <c r="C71" s="2" t="n">
        <v>10609185</v>
      </c>
      <c r="D71" s="2" t="inlineStr">
        <is>
          <t>ARQUITETO III</t>
        </is>
      </c>
      <c r="E71" s="2" t="n">
        <v>10</v>
      </c>
      <c r="F71" s="2" t="inlineStr">
        <is>
          <t>ATIVO</t>
        </is>
      </c>
      <c r="G71" s="2" t="inlineStr">
        <is>
          <t>Negócios &amp; operações</t>
        </is>
      </c>
      <c r="H71" s="2" t="inlineStr">
        <is>
          <t>Arquitetura &amp; Engenharia</t>
        </is>
      </c>
      <c r="I71" s="2" t="inlineStr">
        <is>
          <t>Arquitetura</t>
        </is>
      </c>
      <c r="J71" s="2" t="inlineStr">
        <is>
          <t>Analista</t>
        </is>
      </c>
      <c r="K71" s="2" t="inlineStr">
        <is>
          <t>Analista Sr</t>
        </is>
      </c>
      <c r="L71" s="2" t="n">
        <v>214115</v>
      </c>
      <c r="M71" s="2" t="inlineStr">
        <is>
          <t>Avaliação de tempos real</t>
        </is>
      </c>
      <c r="N71" s="2" t="inlineStr">
        <is>
          <t>Elegível</t>
        </is>
      </c>
      <c r="O71" s="2" t="inlineStr">
        <is>
          <t>NAO ELEGIVEL COTA  APRENDIZ</t>
        </is>
      </c>
      <c r="P71" s="2" t="inlineStr">
        <is>
          <t>CLT</t>
        </is>
      </c>
      <c r="Q71" s="2" t="inlineStr">
        <is>
          <t>Específico</t>
        </is>
      </c>
      <c r="R71" s="2" t="inlineStr">
        <is>
          <t>Empreendimentos</t>
        </is>
      </c>
      <c r="S71" s="2" t="inlineStr">
        <is>
          <t>Efetuar analises tecnicas de projetos de Arquitetura, definindo padroese materiais a serem utilizados.</t>
        </is>
      </c>
      <c r="T71" s="2" t="inlineStr">
        <is>
          <t>Sem matching</t>
        </is>
      </c>
      <c r="U71" s="2" t="n">
        <v/>
      </c>
    </row>
    <row r="72">
      <c r="A72" s="2" t="inlineStr">
        <is>
          <t>BSP</t>
        </is>
      </c>
      <c r="B72" s="2" t="inlineStr">
        <is>
          <t>IMOBILIARIA</t>
        </is>
      </c>
      <c r="C72" s="2" t="n">
        <v>10603577</v>
      </c>
      <c r="D72" s="2" t="inlineStr">
        <is>
          <t>ARQUITETO II</t>
        </is>
      </c>
      <c r="E72" s="2" t="n">
        <v>9</v>
      </c>
      <c r="F72" s="2" t="inlineStr">
        <is>
          <t>ATIVO</t>
        </is>
      </c>
      <c r="G72" s="2" t="inlineStr">
        <is>
          <t>Negócios &amp; operações</t>
        </is>
      </c>
      <c r="H72" s="2" t="inlineStr">
        <is>
          <t>Arquitetura &amp; Engenharia</t>
        </is>
      </c>
      <c r="I72" s="2" t="inlineStr">
        <is>
          <t>Arquitetura</t>
        </is>
      </c>
      <c r="J72" s="2" t="inlineStr">
        <is>
          <t>Analista</t>
        </is>
      </c>
      <c r="K72" s="2" t="inlineStr">
        <is>
          <t>Analista Pl</t>
        </is>
      </c>
      <c r="L72" s="2" t="n">
        <v>214115</v>
      </c>
      <c r="M72" s="2" t="inlineStr">
        <is>
          <t>Avaliação de tempos real</t>
        </is>
      </c>
      <c r="N72" s="2" t="inlineStr">
        <is>
          <t>Elegível</t>
        </is>
      </c>
      <c r="O72" s="2" t="inlineStr">
        <is>
          <t>NAO ELEGIVEL COTA  APRENDIZ</t>
        </is>
      </c>
      <c r="P72" s="2" t="inlineStr">
        <is>
          <t>CLT</t>
        </is>
      </c>
      <c r="Q72" s="2" t="inlineStr">
        <is>
          <t>Específico</t>
        </is>
      </c>
      <c r="R72" s="2" t="inlineStr">
        <is>
          <t>Empreendimentos</t>
        </is>
      </c>
      <c r="S72" s="2" t="inlineStr">
        <is>
          <t>Efetuar analises tecnicas de projetos de Arquitetura, definindo padroese materiais a serem utilizados.C 10603578 ASSISTENTE ADMINISTRATIVO Cargo C 10603578 ASSISTENTE ADMINISTRATIVO I</t>
        </is>
      </c>
      <c r="T72" s="2" t="inlineStr">
        <is>
          <t>Sem matching</t>
        </is>
      </c>
      <c r="U72" s="2" t="n">
        <v/>
      </c>
    </row>
    <row r="73">
      <c r="A73" s="2" t="inlineStr">
        <is>
          <t>BSP</t>
        </is>
      </c>
      <c r="B73" s="2" t="inlineStr">
        <is>
          <t>IMOBILIARIA</t>
        </is>
      </c>
      <c r="C73" s="2" t="n">
        <v>10609190</v>
      </c>
      <c r="D73" s="2" t="inlineStr">
        <is>
          <t>ARQUITETO I</t>
        </is>
      </c>
      <c r="E73" s="2" t="n">
        <v>7</v>
      </c>
      <c r="F73" s="2" t="inlineStr">
        <is>
          <t>ATIVO</t>
        </is>
      </c>
      <c r="G73" s="2" t="inlineStr">
        <is>
          <t>Negócios &amp; operações</t>
        </is>
      </c>
      <c r="H73" s="2" t="inlineStr">
        <is>
          <t>Arquitetura &amp; Engenharia</t>
        </is>
      </c>
      <c r="I73" s="2" t="inlineStr">
        <is>
          <t>Arquitetura</t>
        </is>
      </c>
      <c r="J73" s="2" t="inlineStr">
        <is>
          <t>Analista</t>
        </is>
      </c>
      <c r="K73" s="2" t="inlineStr">
        <is>
          <t>Analista Jr</t>
        </is>
      </c>
      <c r="L73" s="2" t="n">
        <v>214115</v>
      </c>
      <c r="M73" s="2" t="inlineStr">
        <is>
          <t>Avaliação de tempos real</t>
        </is>
      </c>
      <c r="N73" s="2" t="inlineStr">
        <is>
          <t>Elegível</t>
        </is>
      </c>
      <c r="O73" s="2" t="inlineStr">
        <is>
          <t>NAO ELEGIVEL COTA  APRENDIZ</t>
        </is>
      </c>
      <c r="P73" s="2" t="inlineStr">
        <is>
          <t>CLT</t>
        </is>
      </c>
      <c r="Q73" s="2" t="inlineStr">
        <is>
          <t>Específico</t>
        </is>
      </c>
      <c r="R73" s="2" t="inlineStr">
        <is>
          <t>Empreendimentos</t>
        </is>
      </c>
      <c r="S73" s="2" t="inlineStr">
        <is>
          <t>Efetuar analises tecnicas de projetos de Arquitetura, definindo padroese materiais a serem utilizados.</t>
        </is>
      </c>
      <c r="T73" s="2" t="inlineStr">
        <is>
          <t>Sem matching</t>
        </is>
      </c>
      <c r="U73" s="2" t="n">
        <v/>
      </c>
    </row>
    <row r="74">
      <c r="A74" s="2" t="inlineStr">
        <is>
          <t>HOLDING</t>
        </is>
      </c>
      <c r="B74" s="2" t="inlineStr">
        <is>
          <t>HOLDING</t>
        </is>
      </c>
      <c r="C74" s="2" t="n">
        <v>6109187</v>
      </c>
      <c r="D74" s="2" t="inlineStr">
        <is>
          <t>ARQUITETO COORDENADOR</t>
        </is>
      </c>
      <c r="E74" s="2" t="n">
        <v>10</v>
      </c>
      <c r="F74" s="2" t="inlineStr">
        <is>
          <t>ATIVO</t>
        </is>
      </c>
      <c r="G74" s="2" t="inlineStr">
        <is>
          <t>Negócios &amp; operações</t>
        </is>
      </c>
      <c r="H74" s="2" t="inlineStr">
        <is>
          <t>Arquitetura &amp; Engenharia</t>
        </is>
      </c>
      <c r="I74" s="2" t="inlineStr">
        <is>
          <t>Arquitetura</t>
        </is>
      </c>
      <c r="J74" s="2" t="inlineStr">
        <is>
          <t>Coordenador</t>
        </is>
      </c>
      <c r="K74" s="2" t="inlineStr">
        <is>
          <t>Coordenador Matriz</t>
        </is>
      </c>
      <c r="L74" s="2" t="n">
        <v>214115</v>
      </c>
      <c r="M74" s="2" t="inlineStr">
        <is>
          <t>Avaliação de tempos real</t>
        </is>
      </c>
      <c r="N74" s="2" t="inlineStr">
        <is>
          <t>Elegível</t>
        </is>
      </c>
      <c r="O74" s="2" t="inlineStr">
        <is>
          <t>NAO ELEGIVEL COTA  APRENDIZ</t>
        </is>
      </c>
      <c r="P74" s="2" t="inlineStr">
        <is>
          <t>CLT</t>
        </is>
      </c>
      <c r="Q74" s="2" t="inlineStr">
        <is>
          <t>Específico</t>
        </is>
      </c>
      <c r="R74" s="2" t="inlineStr">
        <is>
          <t>Elementares</t>
        </is>
      </c>
      <c r="S74" s="2" t="inlineStr">
        <is>
          <t>Liderar as atividades das equipes sob sua gestao. Aprova e valida os projetos que envolvam planos de Engenharia e Arquitetura de obras da Organizacao Bradesco.</t>
        </is>
      </c>
      <c r="T74" s="2" t="inlineStr">
        <is>
          <t>Sem matching</t>
        </is>
      </c>
      <c r="U74" s="2" t="n">
        <v/>
      </c>
    </row>
    <row r="75">
      <c r="A75" s="2" t="inlineStr">
        <is>
          <t>HOLDING</t>
        </is>
      </c>
      <c r="B75" s="2" t="inlineStr">
        <is>
          <t>HOLDING</t>
        </is>
      </c>
      <c r="C75" s="2" t="n">
        <v>6103577</v>
      </c>
      <c r="D75" s="2" t="inlineStr">
        <is>
          <t>ARQUITETO II</t>
        </is>
      </c>
      <c r="E75" s="2" t="n">
        <v>9</v>
      </c>
      <c r="F75" s="2" t="inlineStr">
        <is>
          <t>ATIVO</t>
        </is>
      </c>
      <c r="G75" s="2" t="inlineStr">
        <is>
          <t>Negócios &amp; operações</t>
        </is>
      </c>
      <c r="H75" s="2" t="inlineStr">
        <is>
          <t>Arquitetura &amp; Engenharia</t>
        </is>
      </c>
      <c r="I75" s="2" t="inlineStr">
        <is>
          <t>Arquitetura</t>
        </is>
      </c>
      <c r="J75" s="2" t="inlineStr">
        <is>
          <t>Analista</t>
        </is>
      </c>
      <c r="K75" s="2" t="inlineStr">
        <is>
          <t>Analista Pl</t>
        </is>
      </c>
      <c r="L75" s="2" t="n">
        <v>214115</v>
      </c>
      <c r="M75" s="2" t="inlineStr">
        <is>
          <t>Avaliação de tempos real</t>
        </is>
      </c>
      <c r="N75" s="2" t="inlineStr">
        <is>
          <t>Elegível</t>
        </is>
      </c>
      <c r="O75" s="2" t="inlineStr">
        <is>
          <t>NAO ELEGIVEL COTA  APRENDIZ</t>
        </is>
      </c>
      <c r="P75" s="2" t="inlineStr">
        <is>
          <t>CLT</t>
        </is>
      </c>
      <c r="Q75" s="2" t="inlineStr">
        <is>
          <t>Específico</t>
        </is>
      </c>
      <c r="R75" s="2" t="inlineStr">
        <is>
          <t>Elementares</t>
        </is>
      </c>
      <c r="S75" s="2" t="inlineStr">
        <is>
          <t>Efetuar analises tecnicas de projetos de Arquitetura, definindo padroes e materiais a serem utilizados.</t>
        </is>
      </c>
      <c r="T75" s="2" t="inlineStr">
        <is>
          <t>Sem matching</t>
        </is>
      </c>
      <c r="U75" s="2" t="n">
        <v/>
      </c>
    </row>
    <row r="76">
      <c r="A76" s="2" t="inlineStr">
        <is>
          <t>HOLDING</t>
        </is>
      </c>
      <c r="B76" s="2" t="inlineStr">
        <is>
          <t>HOLDING</t>
        </is>
      </c>
      <c r="C76" s="2" t="n">
        <v>6109190</v>
      </c>
      <c r="D76" s="2" t="inlineStr">
        <is>
          <t>ARQUITETO I</t>
        </is>
      </c>
      <c r="E76" s="2" t="n">
        <v>7</v>
      </c>
      <c r="F76" s="2" t="inlineStr">
        <is>
          <t>ATIVO</t>
        </is>
      </c>
      <c r="G76" s="2" t="inlineStr">
        <is>
          <t>Negócios &amp; operações</t>
        </is>
      </c>
      <c r="H76" s="2" t="inlineStr">
        <is>
          <t>Arquitetura &amp; Engenharia</t>
        </is>
      </c>
      <c r="I76" s="2" t="inlineStr">
        <is>
          <t>Arquitetura</t>
        </is>
      </c>
      <c r="J76" s="2" t="inlineStr">
        <is>
          <t>Analista</t>
        </is>
      </c>
      <c r="K76" s="2" t="inlineStr">
        <is>
          <t>Analista Jr</t>
        </is>
      </c>
      <c r="L76" s="2" t="n">
        <v>214115</v>
      </c>
      <c r="M76" s="2" t="inlineStr">
        <is>
          <t>Avaliação de tempos real</t>
        </is>
      </c>
      <c r="N76" s="2" t="inlineStr">
        <is>
          <t>Elegível</t>
        </is>
      </c>
      <c r="O76" s="2" t="inlineStr">
        <is>
          <t>NAO ELEGIVEL COTA  APRENDIZ</t>
        </is>
      </c>
      <c r="P76" s="2" t="inlineStr">
        <is>
          <t>CLT</t>
        </is>
      </c>
      <c r="Q76" s="2" t="inlineStr">
        <is>
          <t>Específico</t>
        </is>
      </c>
      <c r="R76" s="2" t="inlineStr">
        <is>
          <t>Elementares</t>
        </is>
      </c>
      <c r="S76" s="2" t="inlineStr">
        <is>
          <t>Efetuar analises tecnicas de projetos de Arquitetura, definindo padroes e materiais a serem utilizados.</t>
        </is>
      </c>
      <c r="T76" s="2" t="inlineStr">
        <is>
          <t>Sem matching</t>
        </is>
      </c>
      <c r="U76" s="2" t="n">
        <v/>
      </c>
    </row>
    <row r="77">
      <c r="A77" s="2" t="inlineStr">
        <is>
          <t>BSP</t>
        </is>
      </c>
      <c r="B77" s="2" t="inlineStr">
        <is>
          <t>IMOBILIARIA</t>
        </is>
      </c>
      <c r="C77" s="2" t="n">
        <v>10610539</v>
      </c>
      <c r="D77" s="2" t="inlineStr">
        <is>
          <t>GERENTE ENGENHARIA</t>
        </is>
      </c>
      <c r="E77" s="2" t="n">
        <v>11</v>
      </c>
      <c r="F77" s="2" t="inlineStr">
        <is>
          <t>ATIVO</t>
        </is>
      </c>
      <c r="G77" s="2" t="inlineStr">
        <is>
          <t>Negócios &amp; operações</t>
        </is>
      </c>
      <c r="H77" s="2" t="inlineStr">
        <is>
          <t>Arquitetura &amp; Engenharia</t>
        </is>
      </c>
      <c r="I77" s="2" t="inlineStr">
        <is>
          <t>Engenharia</t>
        </is>
      </c>
      <c r="J77" s="2" t="inlineStr">
        <is>
          <t>GA</t>
        </is>
      </c>
      <c r="K77" s="2" t="inlineStr">
        <is>
          <t>GA</t>
        </is>
      </c>
      <c r="L77" s="2" t="n">
        <v>214215</v>
      </c>
      <c r="M77" s="2" t="inlineStr">
        <is>
          <t>Avaliação de tempos teórica</t>
        </is>
      </c>
      <c r="N77" s="2" t="inlineStr">
        <is>
          <t>Não elegível</t>
        </is>
      </c>
      <c r="O77" s="2" t="inlineStr">
        <is>
          <t>NAO ELEGIVEL COTA  APRENDIZ</t>
        </is>
      </c>
      <c r="P77" s="2" t="inlineStr">
        <is>
          <t>CLT</t>
        </is>
      </c>
      <c r="Q77" s="2" t="inlineStr">
        <is>
          <t>Específico</t>
        </is>
      </c>
      <c r="R77" s="2" t="inlineStr">
        <is>
          <t>Empreendimentos</t>
        </is>
      </c>
      <c r="S77" s="2" t="inlineStr">
        <is>
          <t>Liderar as atividades das equipes sob sua gestao. Aprovar e validar osprojetos que envolvam planos de Engenharia e Arquitetura de obras daOrganizacao Bradesco.</t>
        </is>
      </c>
      <c r="T77" s="2" t="inlineStr">
        <is>
          <t>Sem matching</t>
        </is>
      </c>
      <c r="U77" s="2" t="n">
        <v/>
      </c>
    </row>
    <row r="78">
      <c r="A78" s="2" t="inlineStr">
        <is>
          <t>BSP</t>
        </is>
      </c>
      <c r="B78" s="2" t="inlineStr">
        <is>
          <t>IMOBILIARIA</t>
        </is>
      </c>
      <c r="C78" s="2" t="n">
        <v>10609184</v>
      </c>
      <c r="D78" s="2" t="inlineStr">
        <is>
          <t>ENGENHEIRO III</t>
        </is>
      </c>
      <c r="E78" s="2" t="n">
        <v>10</v>
      </c>
      <c r="F78" s="2" t="inlineStr">
        <is>
          <t>ATIVO</t>
        </is>
      </c>
      <c r="G78" s="2" t="inlineStr">
        <is>
          <t>Negócios &amp; operações</t>
        </is>
      </c>
      <c r="H78" s="2" t="inlineStr">
        <is>
          <t>Arquitetura &amp; Engenharia</t>
        </is>
      </c>
      <c r="I78" s="2" t="inlineStr">
        <is>
          <t>Engenharia</t>
        </is>
      </c>
      <c r="J78" s="2" t="inlineStr">
        <is>
          <t>Analista</t>
        </is>
      </c>
      <c r="K78" s="2" t="inlineStr">
        <is>
          <t>Analista Sr</t>
        </is>
      </c>
      <c r="L78" s="2" t="n">
        <v>214205</v>
      </c>
      <c r="M78" s="2" t="inlineStr">
        <is>
          <t>Avaliação de tempos real</t>
        </is>
      </c>
      <c r="N78" s="2" t="inlineStr">
        <is>
          <t>Elegível</t>
        </is>
      </c>
      <c r="O78" s="2" t="inlineStr">
        <is>
          <t>NAO ELEGIVEL COTA  APRENDIZ</t>
        </is>
      </c>
      <c r="P78" s="2" t="inlineStr">
        <is>
          <t>CLT</t>
        </is>
      </c>
      <c r="Q78" s="2" t="inlineStr">
        <is>
          <t>Específico</t>
        </is>
      </c>
      <c r="R78" s="2" t="inlineStr">
        <is>
          <t>Empreendimentos</t>
        </is>
      </c>
      <c r="S78" s="2" t="inlineStr">
        <is>
          <t>Efetuar análises técnicas de projetos de Engenharia, definindo técnicase metodologias a serem utilizadas.</t>
        </is>
      </c>
      <c r="T78" s="2" t="inlineStr">
        <is>
          <t>Sem matching</t>
        </is>
      </c>
      <c r="U78" s="2" t="n">
        <v/>
      </c>
    </row>
    <row r="79">
      <c r="A79" s="2" t="inlineStr">
        <is>
          <t>BSP</t>
        </is>
      </c>
      <c r="B79" s="2" t="inlineStr">
        <is>
          <t>IMOBILIARIA</t>
        </is>
      </c>
      <c r="C79" s="2" t="n">
        <v>10609188</v>
      </c>
      <c r="D79" s="2" t="inlineStr">
        <is>
          <t>ENGENHEIRO II</t>
        </is>
      </c>
      <c r="E79" s="2" t="n">
        <v>9</v>
      </c>
      <c r="F79" s="2" t="inlineStr">
        <is>
          <t>ATIVO</t>
        </is>
      </c>
      <c r="G79" s="2" t="inlineStr">
        <is>
          <t>Negócios &amp; operações</t>
        </is>
      </c>
      <c r="H79" s="2" t="inlineStr">
        <is>
          <t>Arquitetura &amp; Engenharia</t>
        </is>
      </c>
      <c r="I79" s="2" t="inlineStr">
        <is>
          <t>Engenharia</t>
        </is>
      </c>
      <c r="J79" s="2" t="inlineStr">
        <is>
          <t>Analista</t>
        </is>
      </c>
      <c r="K79" s="2" t="inlineStr">
        <is>
          <t>Analista Pl</t>
        </is>
      </c>
      <c r="L79" s="2" t="n">
        <v>214205</v>
      </c>
      <c r="M79" s="2" t="inlineStr">
        <is>
          <t>Avaliação de tempos real</t>
        </is>
      </c>
      <c r="N79" s="2" t="inlineStr">
        <is>
          <t>Elegível</t>
        </is>
      </c>
      <c r="O79" s="2" t="inlineStr">
        <is>
          <t>NAO ELEGIVEL COTA  APRENDIZ</t>
        </is>
      </c>
      <c r="P79" s="2" t="inlineStr">
        <is>
          <t>CLT</t>
        </is>
      </c>
      <c r="Q79" s="2" t="inlineStr">
        <is>
          <t>Específico</t>
        </is>
      </c>
      <c r="R79" s="2" t="inlineStr">
        <is>
          <t>Empreendimentos</t>
        </is>
      </c>
      <c r="S79" s="2" t="inlineStr">
        <is>
          <t>Efetuar analises tecnicas de projetos de Engenharia, definindo tecnicase metodologias a serem utilizadas.</t>
        </is>
      </c>
      <c r="T79" s="2" t="inlineStr">
        <is>
          <t>Sem matching</t>
        </is>
      </c>
      <c r="U79" s="2" t="n">
        <v/>
      </c>
    </row>
    <row r="80">
      <c r="A80" s="2" t="inlineStr">
        <is>
          <t>BSP</t>
        </is>
      </c>
      <c r="B80" s="2" t="inlineStr">
        <is>
          <t>IMOBILIARIA</t>
        </is>
      </c>
      <c r="C80" s="2" t="n">
        <v>10603509</v>
      </c>
      <c r="D80" s="2" t="inlineStr">
        <is>
          <t>ENGENHEIRO I</t>
        </is>
      </c>
      <c r="E80" s="2" t="n">
        <v>7</v>
      </c>
      <c r="F80" s="2" t="inlineStr">
        <is>
          <t>ATIVO</t>
        </is>
      </c>
      <c r="G80" s="2" t="inlineStr">
        <is>
          <t>Negócios &amp; operações</t>
        </is>
      </c>
      <c r="H80" s="2" t="inlineStr">
        <is>
          <t>Arquitetura &amp; Engenharia</t>
        </is>
      </c>
      <c r="I80" s="2" t="inlineStr">
        <is>
          <t>Engenharia</t>
        </is>
      </c>
      <c r="J80" s="2" t="inlineStr">
        <is>
          <t>Analista</t>
        </is>
      </c>
      <c r="K80" s="2" t="inlineStr">
        <is>
          <t>Analista Jr</t>
        </is>
      </c>
      <c r="L80" s="2" t="n">
        <v>214205</v>
      </c>
      <c r="M80" s="2" t="inlineStr">
        <is>
          <t>Avaliação de tempos real</t>
        </is>
      </c>
      <c r="N80" s="2" t="inlineStr">
        <is>
          <t>Elegível</t>
        </is>
      </c>
      <c r="O80" s="2" t="inlineStr">
        <is>
          <t>NAO ELEGIVEL COTA  APRENDIZ</t>
        </is>
      </c>
      <c r="P80" s="2" t="inlineStr">
        <is>
          <t>CLT</t>
        </is>
      </c>
      <c r="Q80" s="2" t="inlineStr">
        <is>
          <t>Específico</t>
        </is>
      </c>
      <c r="R80" s="2" t="inlineStr">
        <is>
          <t>Empreendimentos</t>
        </is>
      </c>
      <c r="S80" s="2" t="inlineStr">
        <is>
          <t>Efetuar analises tecnicas de projetos de Engenharia, definindo tecnicase metodologias a serem utilizadas.</t>
        </is>
      </c>
      <c r="T80" s="2" t="inlineStr">
        <is>
          <t>Sem matching</t>
        </is>
      </c>
      <c r="U80" s="2" t="n">
        <v/>
      </c>
    </row>
    <row r="81">
      <c r="A81" s="2" t="inlineStr">
        <is>
          <t>BSP</t>
        </is>
      </c>
      <c r="B81" s="2" t="inlineStr">
        <is>
          <t>IMOBILIARIA</t>
        </is>
      </c>
      <c r="C81" s="2" t="n">
        <v>10609191</v>
      </c>
      <c r="D81" s="2" t="inlineStr">
        <is>
          <t>ANALISTA PROJETOS OBRAS</t>
        </is>
      </c>
      <c r="E81" s="2" t="n">
        <v>5</v>
      </c>
      <c r="F81" s="2" t="inlineStr">
        <is>
          <t>ATIVO</t>
        </is>
      </c>
      <c r="G81" s="2" t="inlineStr">
        <is>
          <t>Negócios &amp; operações</t>
        </is>
      </c>
      <c r="H81" s="2" t="inlineStr">
        <is>
          <t>Arquitetura &amp; Engenharia</t>
        </is>
      </c>
      <c r="I81" s="2" t="inlineStr">
        <is>
          <t>Engenharia</t>
        </is>
      </c>
      <c r="J81" s="2" t="inlineStr">
        <is>
          <t>Analista</t>
        </is>
      </c>
      <c r="K81" s="2" t="inlineStr">
        <is>
          <t>Analista Jr</t>
        </is>
      </c>
      <c r="L81" s="2" t="n">
        <v>312105</v>
      </c>
      <c r="M81" s="2" t="inlineStr">
        <is>
          <t>Avaliação de tempos real</t>
        </is>
      </c>
      <c r="N81" s="2" t="inlineStr">
        <is>
          <t>Elegível</t>
        </is>
      </c>
      <c r="O81" s="2" t="inlineStr">
        <is>
          <t>NAO ELEGIVEL COTA  APRENDIZ</t>
        </is>
      </c>
      <c r="P81" s="2" t="inlineStr">
        <is>
          <t>CLT</t>
        </is>
      </c>
      <c r="Q81" s="2" t="inlineStr">
        <is>
          <t>Preponderante</t>
        </is>
      </c>
      <c r="R81" s="2" t="inlineStr">
        <is>
          <t>Empreendimentos</t>
        </is>
      </c>
      <c r="S81" s="2" t="inlineStr">
        <is>
          <t>Atuar nas tarefas administrativas da area como controlar despesas,receber documentos, organizar arquivos, gerar relatorios pertinentes aarea, com vistas a garantir e proporcionar um ambiente organizado.</t>
        </is>
      </c>
      <c r="T81" s="2" t="inlineStr">
        <is>
          <t>Sem matching</t>
        </is>
      </c>
      <c r="U81" s="2" t="n">
        <v/>
      </c>
    </row>
    <row r="82">
      <c r="A82" s="2" t="inlineStr">
        <is>
          <t>HOLDING</t>
        </is>
      </c>
      <c r="B82" s="2" t="inlineStr">
        <is>
          <t>HOLDING</t>
        </is>
      </c>
      <c r="C82" s="2" t="n">
        <v>6109186</v>
      </c>
      <c r="D82" s="2" t="inlineStr">
        <is>
          <t>ENGENHEIRO COORDENADOR</t>
        </is>
      </c>
      <c r="E82" s="2" t="n">
        <v>10</v>
      </c>
      <c r="F82" s="2" t="inlineStr">
        <is>
          <t>ATIVO</t>
        </is>
      </c>
      <c r="G82" s="2" t="inlineStr">
        <is>
          <t>Negócios &amp; operações</t>
        </is>
      </c>
      <c r="H82" s="2" t="inlineStr">
        <is>
          <t>Arquitetura &amp; Engenharia</t>
        </is>
      </c>
      <c r="I82" s="2" t="inlineStr">
        <is>
          <t>Engenharia</t>
        </is>
      </c>
      <c r="J82" s="2" t="inlineStr">
        <is>
          <t>Coordenador</t>
        </is>
      </c>
      <c r="K82" s="2" t="inlineStr">
        <is>
          <t>Coordenador Matriz</t>
        </is>
      </c>
      <c r="L82" s="2" t="n">
        <v>214205</v>
      </c>
      <c r="M82" s="2" t="inlineStr">
        <is>
          <t>Avaliação de tempos real</t>
        </is>
      </c>
      <c r="N82" s="2" t="inlineStr">
        <is>
          <t>Elegível</t>
        </is>
      </c>
      <c r="O82" s="2" t="inlineStr">
        <is>
          <t>NAO ELEGIVEL COTA  APRENDIZ</t>
        </is>
      </c>
      <c r="P82" s="2" t="inlineStr">
        <is>
          <t>CLT</t>
        </is>
      </c>
      <c r="Q82" s="2" t="inlineStr">
        <is>
          <t>Específico</t>
        </is>
      </c>
      <c r="R82" s="2" t="inlineStr">
        <is>
          <t>Elementares</t>
        </is>
      </c>
      <c r="S82" s="2" t="inlineStr">
        <is>
          <t>Liderar as atividades das equipes sob sua gestao. Aprovar e validar os projetos que envolvam planos de Engenharia e Arquitetura de obras da Organizacao Bradesco.</t>
        </is>
      </c>
      <c r="T82" s="2" t="inlineStr">
        <is>
          <t>Sem matching</t>
        </is>
      </c>
      <c r="U82" s="2" t="n">
        <v/>
      </c>
    </row>
    <row r="83">
      <c r="A83" s="2" t="inlineStr">
        <is>
          <t>HOLDING</t>
        </is>
      </c>
      <c r="B83" s="2" t="inlineStr">
        <is>
          <t>HOLDING</t>
        </is>
      </c>
      <c r="C83" s="2" t="n">
        <v>6109188</v>
      </c>
      <c r="D83" s="2" t="inlineStr">
        <is>
          <t>ENGENHEIRO II</t>
        </is>
      </c>
      <c r="E83" s="2" t="n">
        <v>9</v>
      </c>
      <c r="F83" s="2" t="inlineStr">
        <is>
          <t>ATIVO</t>
        </is>
      </c>
      <c r="G83" s="2" t="inlineStr">
        <is>
          <t>Negócios &amp; operações</t>
        </is>
      </c>
      <c r="H83" s="2" t="inlineStr">
        <is>
          <t>Arquitetura &amp; Engenharia</t>
        </is>
      </c>
      <c r="I83" s="2" t="inlineStr">
        <is>
          <t>Engenharia</t>
        </is>
      </c>
      <c r="J83" s="2" t="inlineStr">
        <is>
          <t>Analista</t>
        </is>
      </c>
      <c r="K83" s="2" t="inlineStr">
        <is>
          <t>Analista Pl</t>
        </is>
      </c>
      <c r="L83" s="2" t="n">
        <v>214205</v>
      </c>
      <c r="M83" s="2" t="inlineStr">
        <is>
          <t>Avaliação de tempos real</t>
        </is>
      </c>
      <c r="N83" s="2" t="inlineStr">
        <is>
          <t>Elegível</t>
        </is>
      </c>
      <c r="O83" s="2" t="inlineStr">
        <is>
          <t>NAO ELEGIVEL COTA  APRENDIZ</t>
        </is>
      </c>
      <c r="P83" s="2" t="inlineStr">
        <is>
          <t>CLT</t>
        </is>
      </c>
      <c r="Q83" s="2" t="inlineStr">
        <is>
          <t>Específico</t>
        </is>
      </c>
      <c r="R83" s="2" t="inlineStr">
        <is>
          <t>Elementares</t>
        </is>
      </c>
      <c r="S83" s="2" t="inlineStr">
        <is>
          <t>Efetuar analises tecnicas de projetos de Engenharia, definindo tecnicas e metodologias a serem utilizadas.</t>
        </is>
      </c>
      <c r="T83" s="2" t="inlineStr">
        <is>
          <t>Sem matching</t>
        </is>
      </c>
      <c r="U83" s="2" t="n">
        <v/>
      </c>
    </row>
    <row r="84">
      <c r="A84" s="2" t="inlineStr">
        <is>
          <t>HOLDING</t>
        </is>
      </c>
      <c r="B84" s="2" t="inlineStr">
        <is>
          <t>HOLDING</t>
        </is>
      </c>
      <c r="C84" s="2" t="n">
        <v>6103509</v>
      </c>
      <c r="D84" s="2" t="inlineStr">
        <is>
          <t>ENGENHEIRO I</t>
        </is>
      </c>
      <c r="E84" s="2" t="n">
        <v>7</v>
      </c>
      <c r="F84" s="2" t="inlineStr">
        <is>
          <t>ATIVO</t>
        </is>
      </c>
      <c r="G84" s="2" t="inlineStr">
        <is>
          <t>Negócios &amp; operações</t>
        </is>
      </c>
      <c r="H84" s="2" t="inlineStr">
        <is>
          <t>Arquitetura &amp; Engenharia</t>
        </is>
      </c>
      <c r="I84" s="2" t="inlineStr">
        <is>
          <t>Engenharia</t>
        </is>
      </c>
      <c r="J84" s="2" t="inlineStr">
        <is>
          <t>Analista</t>
        </is>
      </c>
      <c r="K84" s="2" t="inlineStr">
        <is>
          <t>Analista Jr</t>
        </is>
      </c>
      <c r="L84" s="2" t="n">
        <v>214205</v>
      </c>
      <c r="M84" s="2" t="inlineStr">
        <is>
          <t>Avaliação de tempos real</t>
        </is>
      </c>
      <c r="N84" s="2" t="inlineStr">
        <is>
          <t>Elegível</t>
        </is>
      </c>
      <c r="O84" s="2" t="inlineStr">
        <is>
          <t>NAO ELEGIVEL COTA  APRENDIZ</t>
        </is>
      </c>
      <c r="P84" s="2" t="inlineStr">
        <is>
          <t>CLT</t>
        </is>
      </c>
      <c r="Q84" s="2" t="inlineStr">
        <is>
          <t>Específico</t>
        </is>
      </c>
      <c r="R84" s="2" t="inlineStr">
        <is>
          <t>Elementares</t>
        </is>
      </c>
      <c r="S84" s="2" t="inlineStr">
        <is>
          <t>Efetuar analises tecnicas de projetos de Engenharia, definindo tecnicas e metodologias a serem utilizadas.</t>
        </is>
      </c>
      <c r="T84" s="2" t="inlineStr">
        <is>
          <t>Sem matching</t>
        </is>
      </c>
      <c r="U84" s="2" t="n">
        <v/>
      </c>
    </row>
    <row r="85">
      <c r="A85" s="2" t="inlineStr">
        <is>
          <t>AFFINITY</t>
        </is>
      </c>
      <c r="B85" s="2" t="inlineStr">
        <is>
          <t>BSP AFFINITY</t>
        </is>
      </c>
      <c r="C85" s="2" t="n">
        <v>10011276</v>
      </c>
      <c r="D85" s="2" t="inlineStr">
        <is>
          <t>ESPECIALISTA ATUARIAL</t>
        </is>
      </c>
      <c r="E85" s="2" t="n">
        <v>12</v>
      </c>
      <c r="F85" s="2" t="inlineStr">
        <is>
          <t>ATIVO</t>
        </is>
      </c>
      <c r="G85" s="2" t="inlineStr">
        <is>
          <t>Negócios &amp; operações</t>
        </is>
      </c>
      <c r="H85" s="2" t="inlineStr">
        <is>
          <t>Atuarial, modelagem e dados</t>
        </is>
      </c>
      <c r="I85" s="2" t="inlineStr">
        <is>
          <t>Atuarial</t>
        </is>
      </c>
      <c r="J85" s="2" t="inlineStr">
        <is>
          <t>GA</t>
        </is>
      </c>
      <c r="K85" s="2" t="inlineStr">
        <is>
          <t>Especialista</t>
        </is>
      </c>
      <c r="L85" s="2" t="n">
        <v>211105</v>
      </c>
      <c r="M85" s="2" t="inlineStr">
        <is>
          <t>Avaliação de tempos teórica</t>
        </is>
      </c>
      <c r="N85" s="2" t="inlineStr">
        <is>
          <t>Não elegível</t>
        </is>
      </c>
      <c r="O85" s="2" t="inlineStr">
        <is>
          <t>NAO ELEGIVEL COTA  APRENDIZ</t>
        </is>
      </c>
      <c r="P85" s="2" t="inlineStr">
        <is>
          <t>CLT</t>
        </is>
      </c>
      <c r="Q85" s="2" t="inlineStr">
        <is>
          <t>Preponderante</t>
        </is>
      </c>
      <c r="R85" s="2" t="inlineStr">
        <is>
          <t>Affinity</t>
        </is>
      </c>
      <c r="S85" s="2" t="inlineStr">
        <is>
          <t>Responsavel por desenvolver o refinamento dos dados para obtenção das bases adequadas, Garantir a homologação de dados imprescindíveis Saúde, transferidos para o ADAC, Proporcionar manutenção adequada aos motores de cálculos</t>
        </is>
      </c>
      <c r="T85" s="2" t="inlineStr">
        <is>
          <t>IE.33.002.M30</t>
        </is>
      </c>
      <c r="U85" s="2" t="inlineStr">
        <is>
          <t>IE.33.002.M30</t>
        </is>
      </c>
    </row>
    <row r="86">
      <c r="A86" s="2" t="inlineStr">
        <is>
          <t>AFFINITY</t>
        </is>
      </c>
      <c r="B86" s="2" t="inlineStr">
        <is>
          <t>BSP AFFINITY</t>
        </is>
      </c>
      <c r="C86" s="2" t="n">
        <v>10010290</v>
      </c>
      <c r="D86" s="2" t="inlineStr">
        <is>
          <t>CONSULTOR ATUARIAL</t>
        </is>
      </c>
      <c r="E86" s="2" t="n">
        <v>11</v>
      </c>
      <c r="F86" s="2" t="inlineStr">
        <is>
          <t>ATIVO</t>
        </is>
      </c>
      <c r="G86" s="2" t="inlineStr">
        <is>
          <t>Negócios &amp; operações</t>
        </is>
      </c>
      <c r="H86" s="2" t="inlineStr">
        <is>
          <t>Atuarial, modelagem e dados</t>
        </is>
      </c>
      <c r="I86" s="2" t="inlineStr">
        <is>
          <t>Atuarial</t>
        </is>
      </c>
      <c r="J86" s="2" t="inlineStr">
        <is>
          <t>Especialista</t>
        </is>
      </c>
      <c r="K86" s="2" t="inlineStr">
        <is>
          <t>Consultor</t>
        </is>
      </c>
      <c r="L86" s="2" t="n">
        <v>211105</v>
      </c>
      <c r="M86" s="2" t="inlineStr">
        <is>
          <t>Avaliação de tempos teórica</t>
        </is>
      </c>
      <c r="N86" s="2" t="inlineStr">
        <is>
          <t>Não elegível</t>
        </is>
      </c>
      <c r="O86" s="2" t="inlineStr">
        <is>
          <t>NAO ELEGIVEL COTA  APRENDIZ</t>
        </is>
      </c>
      <c r="P86" s="2" t="inlineStr">
        <is>
          <t>CLT</t>
        </is>
      </c>
      <c r="Q86" s="2" t="inlineStr">
        <is>
          <t>Preponderante</t>
        </is>
      </c>
      <c r="R86" s="2" t="inlineStr">
        <is>
          <t>Affinity</t>
        </is>
      </c>
      <c r="S86" s="2" t="inlineStr">
        <is>
          <t>Apoiar no refinamento dos dados para obtenção das bases adequadas, Garantir a homologação de dados imprescindíveis, transferidos para o ADAC, Proporcionar manutenção adequada aos motores de cálculos</t>
        </is>
      </c>
      <c r="T86" s="2" t="inlineStr">
        <is>
          <t>IE.33.002.P40</t>
        </is>
      </c>
      <c r="U86" s="2" t="inlineStr">
        <is>
          <t>IE.33.002.P40</t>
        </is>
      </c>
    </row>
    <row r="87">
      <c r="A87" s="2" t="inlineStr">
        <is>
          <t>BARE</t>
        </is>
      </c>
      <c r="B87" s="2" t="inlineStr">
        <is>
          <t>AUTO RE SEG</t>
        </is>
      </c>
      <c r="C87" s="2" t="n">
        <v>7511276</v>
      </c>
      <c r="D87" s="2" t="inlineStr">
        <is>
          <t>ESPECIALISTA ATUARIAL I</t>
        </is>
      </c>
      <c r="E87" s="2" t="n">
        <v>12</v>
      </c>
      <c r="F87" s="2" t="inlineStr">
        <is>
          <t>ATIVO</t>
        </is>
      </c>
      <c r="G87" s="2" t="inlineStr">
        <is>
          <t>Negócios &amp; operações</t>
        </is>
      </c>
      <c r="H87" s="2" t="inlineStr">
        <is>
          <t>Atuarial, modelagem e dados</t>
        </is>
      </c>
      <c r="I87" s="2" t="inlineStr">
        <is>
          <t>Atuarial</t>
        </is>
      </c>
      <c r="J87" s="2" t="inlineStr">
        <is>
          <t>GA</t>
        </is>
      </c>
      <c r="K87" s="2" t="inlineStr">
        <is>
          <t>Especialista</t>
        </is>
      </c>
      <c r="L87" s="2" t="n">
        <v>211105</v>
      </c>
      <c r="M87" s="2" t="inlineStr">
        <is>
          <t>Avaliação de tempos teórica</t>
        </is>
      </c>
      <c r="N87" s="2" t="inlineStr">
        <is>
          <t>Não elegível</t>
        </is>
      </c>
      <c r="O87" s="2" t="inlineStr">
        <is>
          <t>NAO ELEGIVEL COTA  APRENDIZ</t>
        </is>
      </c>
      <c r="P87" s="2" t="inlineStr">
        <is>
          <t>CLT</t>
        </is>
      </c>
      <c r="Q87" s="2" t="inlineStr">
        <is>
          <t>Preponderante</t>
        </is>
      </c>
      <c r="R87" s="2" t="inlineStr">
        <is>
          <t>Elementares</t>
        </is>
      </c>
      <c r="S87" s="2" t="inlineStr">
        <is>
          <t>Responsavel por desenvolver o refinamento dos dados para obtenção das bases adequadas, Garantir a homologação de dados imprescindíveis Saúde, transferidos para o ADAC, Proporcionar manutenção adequada aos motores de cálculos</t>
        </is>
      </c>
      <c r="T87" s="2" t="inlineStr">
        <is>
          <t>IE.33.002.M30</t>
        </is>
      </c>
      <c r="U87" s="2" t="inlineStr">
        <is>
          <t>IE.33.002.M30</t>
        </is>
      </c>
    </row>
    <row r="88">
      <c r="A88" s="2" t="inlineStr">
        <is>
          <t>BARE</t>
        </is>
      </c>
      <c r="B88" s="2" t="inlineStr">
        <is>
          <t>AUTO RE SEG</t>
        </is>
      </c>
      <c r="C88" s="2" t="n">
        <v>7508849</v>
      </c>
      <c r="D88" s="2" t="inlineStr">
        <is>
          <t>GERENTE ATUARIAL</t>
        </is>
      </c>
      <c r="E88" s="2" t="n">
        <v>12</v>
      </c>
      <c r="F88" s="2" t="inlineStr">
        <is>
          <t>ATIVO</t>
        </is>
      </c>
      <c r="G88" s="2" t="inlineStr">
        <is>
          <t>Negócios &amp; operações</t>
        </is>
      </c>
      <c r="H88" s="2" t="inlineStr">
        <is>
          <t>Atuarial, modelagem e dados</t>
        </is>
      </c>
      <c r="I88" s="2" t="inlineStr">
        <is>
          <t>Atuarial</t>
        </is>
      </c>
      <c r="J88" s="2" t="inlineStr">
        <is>
          <t>GA</t>
        </is>
      </c>
      <c r="K88" s="2" t="inlineStr">
        <is>
          <t>GA</t>
        </is>
      </c>
      <c r="L88" s="2" t="n">
        <v>211105</v>
      </c>
      <c r="M88" s="2" t="inlineStr">
        <is>
          <t>Avaliação de tempos teórica</t>
        </is>
      </c>
      <c r="N88" s="2" t="inlineStr">
        <is>
          <t>Não elegível</t>
        </is>
      </c>
      <c r="O88" s="2" t="inlineStr">
        <is>
          <t>NAO ELEGIVEL COTA  APRENDIZ</t>
        </is>
      </c>
      <c r="P88" s="2" t="inlineStr">
        <is>
          <t>CLT</t>
        </is>
      </c>
      <c r="Q88" s="2" t="inlineStr">
        <is>
          <t>Preponderante</t>
        </is>
      </c>
      <c r="R88" s="2" t="inlineStr">
        <is>
          <t>Elementares</t>
        </is>
      </c>
      <c r="S88" s="2" t="inlineStr">
        <is>
          <t>Gerenciar a equipe referente aos calculos atuariais, analisando e revisando os trabalhos e projetos de natureza atuarial, executados pela area.</t>
        </is>
      </c>
      <c r="T88" s="2" t="inlineStr">
        <is>
          <t>IE.33.002.M30</t>
        </is>
      </c>
      <c r="U88" s="2" t="inlineStr">
        <is>
          <t>IE.33.002.M30</t>
        </is>
      </c>
    </row>
    <row r="89">
      <c r="A89" s="2" t="inlineStr">
        <is>
          <t>BARE</t>
        </is>
      </c>
      <c r="B89" s="2" t="inlineStr">
        <is>
          <t>AUTO RE SEG</t>
        </is>
      </c>
      <c r="C89" s="2" t="n">
        <v>7510290</v>
      </c>
      <c r="D89" s="2" t="inlineStr">
        <is>
          <t>CONSULTOR ATUARIAL</t>
        </is>
      </c>
      <c r="E89" s="2" t="n">
        <v>11</v>
      </c>
      <c r="F89" s="2" t="inlineStr">
        <is>
          <t>ATIVO</t>
        </is>
      </c>
      <c r="G89" s="2" t="inlineStr">
        <is>
          <t>Negócios &amp; operações</t>
        </is>
      </c>
      <c r="H89" s="2" t="inlineStr">
        <is>
          <t>Atuarial, modelagem e dados</t>
        </is>
      </c>
      <c r="I89" s="2" t="inlineStr">
        <is>
          <t>Atuarial</t>
        </is>
      </c>
      <c r="J89" s="2" t="inlineStr">
        <is>
          <t>Especialista</t>
        </is>
      </c>
      <c r="K89" s="2" t="inlineStr">
        <is>
          <t>Consultor</t>
        </is>
      </c>
      <c r="L89" s="2" t="n">
        <v>211105</v>
      </c>
      <c r="M89" s="2" t="inlineStr">
        <is>
          <t>Avaliação de tempos teórica</t>
        </is>
      </c>
      <c r="N89" s="2" t="inlineStr">
        <is>
          <t>Não elegível</t>
        </is>
      </c>
      <c r="O89" s="2" t="inlineStr">
        <is>
          <t>NAO ELEGIVEL COTA  APRENDIZ</t>
        </is>
      </c>
      <c r="P89" s="2" t="inlineStr">
        <is>
          <t>CLT</t>
        </is>
      </c>
      <c r="Q89" s="2" t="inlineStr">
        <is>
          <t>Preponderante</t>
        </is>
      </c>
      <c r="R89" s="2" t="inlineStr">
        <is>
          <t>Elementares</t>
        </is>
      </c>
      <c r="S89" s="2" t="inlineStr">
        <is>
          <t>Apoiar no refinamento dos dados para obtenção das bases adequadas, Garantir a homologação de dados imprescindíveis, transferidos para o ADAC, Proporcionar manutenção adequada aos motores de cálculos</t>
        </is>
      </c>
      <c r="T89" s="2" t="inlineStr">
        <is>
          <t>IE.33.002.P40</t>
        </is>
      </c>
      <c r="U89" s="2" t="inlineStr">
        <is>
          <t>IE.33.002.P40</t>
        </is>
      </c>
    </row>
    <row r="90">
      <c r="A90" s="2" t="inlineStr">
        <is>
          <t>BARE</t>
        </is>
      </c>
      <c r="B90" s="2" t="inlineStr">
        <is>
          <t>AUTO RE SEG</t>
        </is>
      </c>
      <c r="C90" s="2" t="n">
        <v>7515403</v>
      </c>
      <c r="D90" s="2" t="inlineStr">
        <is>
          <t>COORDENADOR ATUARIAL</t>
        </is>
      </c>
      <c r="E90" s="2" t="n">
        <v>11</v>
      </c>
      <c r="F90" s="2" t="inlineStr">
        <is>
          <t>ATIVO</t>
        </is>
      </c>
      <c r="G90" s="2" t="inlineStr">
        <is>
          <t>Negócios &amp; operações</t>
        </is>
      </c>
      <c r="H90" s="2" t="inlineStr">
        <is>
          <t>Atuarial, modelagem e dados</t>
        </is>
      </c>
      <c r="I90" s="2" t="inlineStr">
        <is>
          <t>Atuarial</t>
        </is>
      </c>
      <c r="J90" s="2" t="inlineStr">
        <is>
          <t>Coordenador</t>
        </is>
      </c>
      <c r="K90" s="2" t="inlineStr">
        <is>
          <t>Coordenador Matriz</t>
        </is>
      </c>
      <c r="L90" s="2" t="n">
        <v>211105</v>
      </c>
      <c r="M90" s="2" t="inlineStr">
        <is>
          <t>Avaliação de tempos real</t>
        </is>
      </c>
      <c r="N90" s="2" t="inlineStr">
        <is>
          <t>Elegível</t>
        </is>
      </c>
      <c r="O90" s="2" t="inlineStr">
        <is>
          <t>NAO ELEGIVEL COTA  APRENDIZ</t>
        </is>
      </c>
      <c r="P90" s="2" t="inlineStr">
        <is>
          <t>CLT</t>
        </is>
      </c>
      <c r="Q90" s="2" t="inlineStr">
        <is>
          <t>Preponderante</t>
        </is>
      </c>
      <c r="R90" s="2" t="inlineStr">
        <is>
          <t>Elementares</t>
        </is>
      </c>
      <c r="S90" s="2" t="inlineStr">
        <is>
          <t>Apoiar no refinamento dos dados para obtenção das bases adequadas, Garantir a homologação de dados imprescindíveis Saúde, transferidos para o ADAC, Proporcionar manutenção adequada aos motores de cálculos</t>
        </is>
      </c>
      <c r="T90" s="2" t="inlineStr">
        <is>
          <t>IE.33.002.M20</t>
        </is>
      </c>
      <c r="U90" s="2" t="inlineStr">
        <is>
          <t>IE.33.002.M20</t>
        </is>
      </c>
    </row>
    <row r="91">
      <c r="A91" s="2" t="inlineStr">
        <is>
          <t>BARE</t>
        </is>
      </c>
      <c r="B91" s="2" t="inlineStr">
        <is>
          <t>AUTO RE SEG</t>
        </is>
      </c>
      <c r="C91" s="2" t="n">
        <v>7508817</v>
      </c>
      <c r="D91" s="2" t="inlineStr">
        <is>
          <t>ANALISTA ATUARIAL SR</t>
        </is>
      </c>
      <c r="E91" s="2" t="n">
        <v>10</v>
      </c>
      <c r="F91" s="2" t="inlineStr">
        <is>
          <t>ATIVO</t>
        </is>
      </c>
      <c r="G91" s="2" t="inlineStr">
        <is>
          <t>Negócios &amp; operações</t>
        </is>
      </c>
      <c r="H91" s="2" t="inlineStr">
        <is>
          <t>Atuarial, modelagem e dados</t>
        </is>
      </c>
      <c r="I91" s="2" t="inlineStr">
        <is>
          <t>Atuarial</t>
        </is>
      </c>
      <c r="J91" s="2" t="inlineStr">
        <is>
          <t>Analista</t>
        </is>
      </c>
      <c r="K91" s="2" t="inlineStr">
        <is>
          <t>Analista Sr</t>
        </is>
      </c>
      <c r="L91" s="2" t="n">
        <v>211105</v>
      </c>
      <c r="M91" s="2" t="inlineStr">
        <is>
          <t>Avaliação de tempos real</t>
        </is>
      </c>
      <c r="N91" s="2" t="inlineStr">
        <is>
          <t>Elegível</t>
        </is>
      </c>
      <c r="O91" s="2" t="inlineStr">
        <is>
          <t>NAO ELEGIVEL COTA  APRENDIZ</t>
        </is>
      </c>
      <c r="P91" s="2" t="inlineStr">
        <is>
          <t>CLT</t>
        </is>
      </c>
      <c r="Q91" s="2" t="inlineStr">
        <is>
          <t>Preponderante</t>
        </is>
      </c>
      <c r="R91" s="2" t="inlineStr">
        <is>
          <t>Elementares</t>
        </is>
      </c>
      <c r="S91" s="2" t="inlineStr">
        <is>
          <t>Realizar calculos de maior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e auxilia na implementacao de projetos que visem atender as normas estabelecidas pelos orgaos reguladores.</t>
        </is>
      </c>
      <c r="T91" s="2" t="inlineStr">
        <is>
          <t>IE.33.002.P30</t>
        </is>
      </c>
      <c r="U91" s="2" t="inlineStr">
        <is>
          <t>IE.33.002.P30</t>
        </is>
      </c>
    </row>
    <row r="92">
      <c r="A92" s="2" t="inlineStr">
        <is>
          <t>BARE</t>
        </is>
      </c>
      <c r="B92" s="2" t="inlineStr">
        <is>
          <t>AUTO RE SEG</t>
        </is>
      </c>
      <c r="C92" s="2" t="n">
        <v>7508816</v>
      </c>
      <c r="D92" s="2" t="inlineStr">
        <is>
          <t>ANALISTA ATUARIAL PL</t>
        </is>
      </c>
      <c r="E92" s="2" t="n">
        <v>8</v>
      </c>
      <c r="F92" s="2" t="inlineStr">
        <is>
          <t>ATIVO</t>
        </is>
      </c>
      <c r="G92" s="2" t="inlineStr">
        <is>
          <t>Negócios &amp; operações</t>
        </is>
      </c>
      <c r="H92" s="2" t="inlineStr">
        <is>
          <t>Atuarial, modelagem e dados</t>
        </is>
      </c>
      <c r="I92" s="2" t="inlineStr">
        <is>
          <t>Atuarial</t>
        </is>
      </c>
      <c r="J92" s="2" t="inlineStr">
        <is>
          <t>Analista</t>
        </is>
      </c>
      <c r="K92" s="2" t="inlineStr">
        <is>
          <t>Analista Pl</t>
        </is>
      </c>
      <c r="L92" s="2" t="n">
        <v>211105</v>
      </c>
      <c r="M92" s="2" t="inlineStr">
        <is>
          <t>Avaliação de tempos real</t>
        </is>
      </c>
      <c r="N92" s="2" t="inlineStr">
        <is>
          <t>Elegível</t>
        </is>
      </c>
      <c r="O92" s="2" t="inlineStr">
        <is>
          <t>NAO ELEGIVEL COTA  APRENDIZ</t>
        </is>
      </c>
      <c r="P92" s="2" t="inlineStr">
        <is>
          <t>CLT</t>
        </is>
      </c>
      <c r="Q92" s="2" t="inlineStr">
        <is>
          <t>Preponderante</t>
        </is>
      </c>
      <c r="R92" s="2" t="inlineStr">
        <is>
          <t>Elementares</t>
        </is>
      </c>
      <c r="S92" s="2" t="inlineStr">
        <is>
          <t>Auxiliar os demais atuarios e o gerente da area na realizacao das atividades, no que se refere manipulacao de base de dados, otimizacao de planilhas via VBA (Visual Basic For Aplications), execucao de programas no aplicativo SAS e/ou sistemas atuariais (RAFM/MoSes). Suporte na preparacao de relatorios e analise de indicadores atuariais.</t>
        </is>
      </c>
      <c r="T92" s="2" t="inlineStr">
        <is>
          <t>IE.33.002.P30</t>
        </is>
      </c>
      <c r="U92" s="2" t="inlineStr">
        <is>
          <t>IE.33.002.P30</t>
        </is>
      </c>
    </row>
    <row r="93">
      <c r="A93" s="2" t="inlineStr">
        <is>
          <t>BARE</t>
        </is>
      </c>
      <c r="B93" s="2" t="inlineStr">
        <is>
          <t>AUTO RE SEG</t>
        </is>
      </c>
      <c r="C93" s="2" t="n">
        <v>7508815</v>
      </c>
      <c r="D93" s="2" t="inlineStr">
        <is>
          <t>ANALISTA ATUARIAL JR</t>
        </is>
      </c>
      <c r="E93" s="2" t="n">
        <v>6</v>
      </c>
      <c r="F93" s="2" t="inlineStr">
        <is>
          <t>ATIVO</t>
        </is>
      </c>
      <c r="G93" s="2" t="inlineStr">
        <is>
          <t>Negócios &amp; operações</t>
        </is>
      </c>
      <c r="H93" s="2" t="inlineStr">
        <is>
          <t>Atuarial, modelagem e dados</t>
        </is>
      </c>
      <c r="I93" s="2" t="inlineStr">
        <is>
          <t>Atuarial</t>
        </is>
      </c>
      <c r="J93" s="2" t="inlineStr">
        <is>
          <t>Analista</t>
        </is>
      </c>
      <c r="K93" s="2" t="inlineStr">
        <is>
          <t>Analista Jr</t>
        </is>
      </c>
      <c r="L93" s="2" t="n">
        <v>211105</v>
      </c>
      <c r="M93" s="2" t="inlineStr">
        <is>
          <t>Avaliação de tempos real</t>
        </is>
      </c>
      <c r="N93" s="2" t="inlineStr">
        <is>
          <t>Elegível</t>
        </is>
      </c>
      <c r="O93" s="2" t="inlineStr">
        <is>
          <t>NAO ELEGIVEL COTA  APRENDIZ</t>
        </is>
      </c>
      <c r="P93" s="2" t="inlineStr">
        <is>
          <t>CLT</t>
        </is>
      </c>
      <c r="Q93" s="2" t="inlineStr">
        <is>
          <t>Preponderante</t>
        </is>
      </c>
      <c r="R93" s="2" t="inlineStr">
        <is>
          <t>Elementares</t>
        </is>
      </c>
      <c r="S93" s="2" t="inlineStr">
        <is>
          <t>Auxiliar os demais atuarios e o gerente da area na realizacao das atividades, no que se refere manipulacao de base de dados, otimizacao de planilhas via VBA (Visual Basic For Aplications), execucao de programas no aplicativo SAS e/ou sistemas atuariais (RAFM/MoSes). Suporte na preparacao de relatorios e analise de indicadores atuariais.</t>
        </is>
      </c>
      <c r="T93" s="2" t="inlineStr">
        <is>
          <t>IE.33.002.P20</t>
        </is>
      </c>
      <c r="U93" s="2" t="inlineStr">
        <is>
          <t>IE.33.002.P20</t>
        </is>
      </c>
    </row>
    <row r="94">
      <c r="A94" s="2" t="inlineStr">
        <is>
          <t>BARE</t>
        </is>
      </c>
      <c r="B94" s="2" t="inlineStr">
        <is>
          <t>AUTO RE SEG</t>
        </is>
      </c>
      <c r="C94" s="2" t="n">
        <v>7510200</v>
      </c>
      <c r="D94" s="2" t="inlineStr">
        <is>
          <t>ANALISTA ASSISTENTE ATUARIAL</t>
        </is>
      </c>
      <c r="E94" s="2" t="n">
        <v>4</v>
      </c>
      <c r="F94" s="2" t="inlineStr">
        <is>
          <t>ATIVO</t>
        </is>
      </c>
      <c r="G94" s="2" t="inlineStr">
        <is>
          <t>Negócios &amp; operações</t>
        </is>
      </c>
      <c r="H94" s="2" t="inlineStr">
        <is>
          <t>Atuarial, modelagem e dados</t>
        </is>
      </c>
      <c r="I94" s="2" t="inlineStr">
        <is>
          <t>Atuarial</t>
        </is>
      </c>
      <c r="J94" s="2" t="inlineStr">
        <is>
          <t>Assistente</t>
        </is>
      </c>
      <c r="K94" s="2" t="inlineStr">
        <is>
          <t>Assistente</t>
        </is>
      </c>
      <c r="L94" s="2" t="n">
        <v>211105</v>
      </c>
      <c r="M94" s="2" t="inlineStr">
        <is>
          <t>Avaliação de tempos real</t>
        </is>
      </c>
      <c r="N94" s="2" t="inlineStr">
        <is>
          <t>Elegível</t>
        </is>
      </c>
      <c r="O94" s="2" t="inlineStr">
        <is>
          <t>NAO ELEGIVEL COTA  APRENDIZ</t>
        </is>
      </c>
      <c r="P94" s="2" t="inlineStr">
        <is>
          <t>CLT</t>
        </is>
      </c>
      <c r="Q94" s="2" t="inlineStr">
        <is>
          <t>Preponderante</t>
        </is>
      </c>
      <c r="R94" s="2" t="inlineStr">
        <is>
          <t>Elementares</t>
        </is>
      </c>
      <c r="S94" s="2" t="inlineStr">
        <is>
          <t>Realizar calculos de maior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e auxilia na implementacao de projetos que visem atender as normas estabelecidas pelos orgaos reguladores.</t>
        </is>
      </c>
      <c r="T94" s="2" t="inlineStr">
        <is>
          <t>IE.26.002.S20</t>
        </is>
      </c>
      <c r="U94" s="2" t="inlineStr">
        <is>
          <t>IE.26.002.S20</t>
        </is>
      </c>
    </row>
    <row r="95">
      <c r="A95" s="2" t="inlineStr">
        <is>
          <t>BSP</t>
        </is>
      </c>
      <c r="B95" s="2" t="inlineStr">
        <is>
          <t>IMOBILIARIA</t>
        </is>
      </c>
      <c r="C95" s="2" t="n">
        <v>10611276</v>
      </c>
      <c r="D95" s="2" t="inlineStr">
        <is>
          <t>ESPECIALISTA ATUARIAL</t>
        </is>
      </c>
      <c r="E95" s="2" t="n">
        <v>12</v>
      </c>
      <c r="F95" s="2" t="inlineStr">
        <is>
          <t>ATIVO</t>
        </is>
      </c>
      <c r="G95" s="2" t="inlineStr">
        <is>
          <t>Negócios &amp; operações</t>
        </is>
      </c>
      <c r="H95" s="2" t="inlineStr">
        <is>
          <t>Atuarial, modelagem e dados</t>
        </is>
      </c>
      <c r="I95" s="2" t="inlineStr">
        <is>
          <t>Atuarial</t>
        </is>
      </c>
      <c r="J95" s="2" t="inlineStr">
        <is>
          <t>GA</t>
        </is>
      </c>
      <c r="K95" s="2" t="inlineStr">
        <is>
          <t>Especialista</t>
        </is>
      </c>
      <c r="L95" s="2" t="n">
        <v>211105</v>
      </c>
      <c r="M95" s="2" t="inlineStr">
        <is>
          <t>Avaliação de tempos teórica</t>
        </is>
      </c>
      <c r="N95" s="2" t="inlineStr">
        <is>
          <t>Não elegível</t>
        </is>
      </c>
      <c r="O95" s="2" t="inlineStr">
        <is>
          <t>NAO ELEGIVEL COTA  APRENDIZ</t>
        </is>
      </c>
      <c r="P95" s="2" t="inlineStr">
        <is>
          <t>CLT</t>
        </is>
      </c>
      <c r="Q95" s="2" t="inlineStr">
        <is>
          <t>Preponderante</t>
        </is>
      </c>
      <c r="R95" s="2" t="inlineStr">
        <is>
          <t>Empreendimentos</t>
        </is>
      </c>
      <c r="S95" s="2" t="inlineStr">
        <is>
          <t>Responsavel por desenvolver o refinamento dos dados para obtenção das bases adequadas, Garantir a homologação de dados imprescindíveis Saúde, transferidos para o ADAC, Proporcionar manutenção adequada aos motores de cálculos</t>
        </is>
      </c>
      <c r="T95" s="2" t="inlineStr">
        <is>
          <t>IE.33.002.M30</t>
        </is>
      </c>
      <c r="U95" s="2" t="inlineStr">
        <is>
          <t>IE.33.002.M30</t>
        </is>
      </c>
    </row>
    <row r="96">
      <c r="A96" s="2" t="inlineStr">
        <is>
          <t>BSP</t>
        </is>
      </c>
      <c r="B96" s="2" t="inlineStr">
        <is>
          <t>IMOBILIARIA</t>
        </is>
      </c>
      <c r="C96" s="2" t="n">
        <v>10610290</v>
      </c>
      <c r="D96" s="2" t="inlineStr">
        <is>
          <t>CONSULTOR ATUARIAL</t>
        </is>
      </c>
      <c r="E96" s="2" t="n">
        <v>11</v>
      </c>
      <c r="F96" s="2" t="inlineStr">
        <is>
          <t>ATIVO</t>
        </is>
      </c>
      <c r="G96" s="2" t="inlineStr">
        <is>
          <t>Negócios &amp; operações</t>
        </is>
      </c>
      <c r="H96" s="2" t="inlineStr">
        <is>
          <t>Atuarial, modelagem e dados</t>
        </is>
      </c>
      <c r="I96" s="2" t="inlineStr">
        <is>
          <t>Atuarial</t>
        </is>
      </c>
      <c r="J96" s="2" t="inlineStr">
        <is>
          <t>Especialista</t>
        </is>
      </c>
      <c r="K96" s="2" t="inlineStr">
        <is>
          <t>Consultor</t>
        </is>
      </c>
      <c r="L96" s="2" t="n">
        <v>211105</v>
      </c>
      <c r="M96" s="2" t="inlineStr">
        <is>
          <t>Avaliação de tempos teórica</t>
        </is>
      </c>
      <c r="N96" s="2" t="inlineStr">
        <is>
          <t>Não elegível</t>
        </is>
      </c>
      <c r="O96" s="2" t="inlineStr">
        <is>
          <t>NAO ELEGIVEL COTA  APRENDIZ</t>
        </is>
      </c>
      <c r="P96" s="2" t="inlineStr">
        <is>
          <t>CLT</t>
        </is>
      </c>
      <c r="Q96" s="2" t="inlineStr">
        <is>
          <t>Preponderante</t>
        </is>
      </c>
      <c r="R96" s="2" t="inlineStr">
        <is>
          <t>Empreendimentos</t>
        </is>
      </c>
      <c r="S96" s="2" t="inlineStr">
        <is>
          <t>Apoiar no refinamento dos dados para obtenção das bases adequadas, Garantir a homologação de dados imprescindíveis, transferidos para o ADAC, Proporcionar manutenção adequada aos motores de cálculos</t>
        </is>
      </c>
      <c r="T96" s="2" t="inlineStr">
        <is>
          <t>IE.33.002.P40</t>
        </is>
      </c>
      <c r="U96" s="2" t="inlineStr">
        <is>
          <t>IE.33.002.P40</t>
        </is>
      </c>
    </row>
    <row r="97">
      <c r="A97" s="2" t="inlineStr">
        <is>
          <t>BVP</t>
        </is>
      </c>
      <c r="B97" s="2" t="inlineStr">
        <is>
          <t>PREVIDENCIA</t>
        </is>
      </c>
      <c r="C97" s="2" t="n">
        <v>3411276</v>
      </c>
      <c r="D97" s="2" t="inlineStr">
        <is>
          <t>ESPECIALISTA ATUARIAL I</t>
        </is>
      </c>
      <c r="E97" s="2" t="n">
        <v>12</v>
      </c>
      <c r="F97" s="2" t="inlineStr">
        <is>
          <t>ATIVO</t>
        </is>
      </c>
      <c r="G97" s="2" t="inlineStr">
        <is>
          <t>Negócios &amp; operações</t>
        </is>
      </c>
      <c r="H97" s="2" t="inlineStr">
        <is>
          <t>Atuarial, modelagem e dados</t>
        </is>
      </c>
      <c r="I97" s="2" t="inlineStr">
        <is>
          <t>Atuarial</t>
        </is>
      </c>
      <c r="J97" s="2" t="inlineStr">
        <is>
          <t>GA</t>
        </is>
      </c>
      <c r="K97" s="2" t="inlineStr">
        <is>
          <t>Especialista</t>
        </is>
      </c>
      <c r="L97" s="2" t="n">
        <v>211105</v>
      </c>
      <c r="M97" s="2" t="inlineStr">
        <is>
          <t>Avaliação de tempos teórica</t>
        </is>
      </c>
      <c r="N97" s="2" t="inlineStr">
        <is>
          <t>Não elegível</t>
        </is>
      </c>
      <c r="O97" s="2" t="inlineStr">
        <is>
          <t>NAO ELEGIVEL COTA  APRENDIZ</t>
        </is>
      </c>
      <c r="P97" s="2" t="inlineStr">
        <is>
          <t>CLT</t>
        </is>
      </c>
      <c r="Q97" s="2" t="inlineStr">
        <is>
          <t>Preponderante</t>
        </is>
      </c>
      <c r="R97" s="2" t="inlineStr">
        <is>
          <t>Vida e Previdência</t>
        </is>
      </c>
      <c r="S97" s="2" t="inlineStr">
        <is>
          <t>Responsavel por desenvolver o refinamento dos dados para obtenção das bases adequadas, Garantir a homologação de dados imprescindíveis Saúde, transferidos para o ADAC, Proporcionar manutenção adequada aos motores de cálculos</t>
        </is>
      </c>
      <c r="T97" s="2" t="inlineStr">
        <is>
          <t>IE.33.002.M30</t>
        </is>
      </c>
      <c r="U97" s="2" t="inlineStr">
        <is>
          <t>IE.33.002.M30</t>
        </is>
      </c>
    </row>
    <row r="98">
      <c r="A98" s="2" t="inlineStr">
        <is>
          <t>BVP</t>
        </is>
      </c>
      <c r="B98" s="2" t="inlineStr">
        <is>
          <t>PREVIDENCIA</t>
        </is>
      </c>
      <c r="C98" s="2" t="n">
        <v>3408849</v>
      </c>
      <c r="D98" s="2" t="inlineStr">
        <is>
          <t>GERENTE ATUARIAL</t>
        </is>
      </c>
      <c r="E98" s="2" t="n">
        <v>12</v>
      </c>
      <c r="F98" s="2" t="inlineStr">
        <is>
          <t>ATIVO</t>
        </is>
      </c>
      <c r="G98" s="2" t="inlineStr">
        <is>
          <t>Negócios &amp; operações</t>
        </is>
      </c>
      <c r="H98" s="2" t="inlineStr">
        <is>
          <t>Atuarial, modelagem e dados</t>
        </is>
      </c>
      <c r="I98" s="2" t="inlineStr">
        <is>
          <t>Atuarial</t>
        </is>
      </c>
      <c r="J98" s="2" t="inlineStr">
        <is>
          <t>GA</t>
        </is>
      </c>
      <c r="K98" s="2" t="inlineStr">
        <is>
          <t>GA</t>
        </is>
      </c>
      <c r="L98" s="2" t="n">
        <v>211105</v>
      </c>
      <c r="M98" s="2" t="inlineStr">
        <is>
          <t>Avaliação de tempos teórica</t>
        </is>
      </c>
      <c r="N98" s="2" t="inlineStr">
        <is>
          <t>Não elegível</t>
        </is>
      </c>
      <c r="O98" s="2" t="inlineStr">
        <is>
          <t>NAO ELEGIVEL COTA  APRENDIZ</t>
        </is>
      </c>
      <c r="P98" s="2" t="inlineStr">
        <is>
          <t>CLT</t>
        </is>
      </c>
      <c r="Q98" s="2" t="inlineStr">
        <is>
          <t>Preponderante</t>
        </is>
      </c>
      <c r="R98" s="2" t="inlineStr">
        <is>
          <t>Vida e Previdência</t>
        </is>
      </c>
      <c r="S98" s="2" t="inlineStr">
        <is>
          <t>Gerenciar a equipe referente aos calculos atuariais, analisando e revisando os trabalhos e projetos de natureza atuarial, executados pela area.</t>
        </is>
      </c>
      <c r="T98" s="2" t="inlineStr">
        <is>
          <t>IE.33.002.M30</t>
        </is>
      </c>
      <c r="U98" s="2" t="inlineStr">
        <is>
          <t>IE.33.002.M30</t>
        </is>
      </c>
    </row>
    <row r="99">
      <c r="A99" s="2" t="inlineStr">
        <is>
          <t>BVP</t>
        </is>
      </c>
      <c r="B99" s="2" t="inlineStr">
        <is>
          <t>PREVIDENCIA</t>
        </is>
      </c>
      <c r="C99" s="2" t="n">
        <v>3410290</v>
      </c>
      <c r="D99" s="2" t="inlineStr">
        <is>
          <t>CONSULTOR ATUARIAL</t>
        </is>
      </c>
      <c r="E99" s="2" t="n">
        <v>11</v>
      </c>
      <c r="F99" s="2" t="inlineStr">
        <is>
          <t>ATIVO</t>
        </is>
      </c>
      <c r="G99" s="2" t="inlineStr">
        <is>
          <t>Negócios &amp; operações</t>
        </is>
      </c>
      <c r="H99" s="2" t="inlineStr">
        <is>
          <t>Atuarial, modelagem e dados</t>
        </is>
      </c>
      <c r="I99" s="2" t="inlineStr">
        <is>
          <t>Atuarial</t>
        </is>
      </c>
      <c r="J99" s="2" t="inlineStr">
        <is>
          <t>Especialista</t>
        </is>
      </c>
      <c r="K99" s="2" t="inlineStr">
        <is>
          <t>Consultor</t>
        </is>
      </c>
      <c r="L99" s="2" t="n">
        <v>211105</v>
      </c>
      <c r="M99" s="2" t="inlineStr">
        <is>
          <t>Avaliação de tempos teórica</t>
        </is>
      </c>
      <c r="N99" s="2" t="inlineStr">
        <is>
          <t>Não elegível</t>
        </is>
      </c>
      <c r="O99" s="2" t="inlineStr">
        <is>
          <t>NAO ELEGIVEL COTA  APRENDIZ</t>
        </is>
      </c>
      <c r="P99" s="2" t="inlineStr">
        <is>
          <t>CLT</t>
        </is>
      </c>
      <c r="Q99" s="2" t="inlineStr">
        <is>
          <t>Preponderante</t>
        </is>
      </c>
      <c r="R99" s="2" t="inlineStr">
        <is>
          <t>Vida e Previdência</t>
        </is>
      </c>
      <c r="S99" s="2" t="inlineStr">
        <is>
          <t>Fornecer orientacao tecnica a equipe referente aos calculos atuariais, analisando e revisando os trabalhos e projetos de natureza atuarial, executados pela area.</t>
        </is>
      </c>
      <c r="T99" s="2" t="inlineStr">
        <is>
          <t>IE.33.002.P40</t>
        </is>
      </c>
      <c r="U99" s="2" t="inlineStr">
        <is>
          <t>IE.33.002.P40</t>
        </is>
      </c>
    </row>
    <row r="100">
      <c r="A100" s="2" t="inlineStr">
        <is>
          <t>BVP</t>
        </is>
      </c>
      <c r="B100" s="2" t="inlineStr">
        <is>
          <t>PREVIDENCIA</t>
        </is>
      </c>
      <c r="C100" s="2" t="n">
        <v>3415403</v>
      </c>
      <c r="D100" s="2" t="inlineStr">
        <is>
          <t>COORDENADOR ATUARIAL</t>
        </is>
      </c>
      <c r="E100" s="2" t="n">
        <v>11</v>
      </c>
      <c r="F100" s="2" t="inlineStr">
        <is>
          <t>ATIVO</t>
        </is>
      </c>
      <c r="G100" s="2" t="inlineStr">
        <is>
          <t>Negócios &amp; operações</t>
        </is>
      </c>
      <c r="H100" s="2" t="inlineStr">
        <is>
          <t>Atuarial, modelagem e dados</t>
        </is>
      </c>
      <c r="I100" s="2" t="inlineStr">
        <is>
          <t>Atuarial</t>
        </is>
      </c>
      <c r="J100" s="2" t="inlineStr">
        <is>
          <t>Coordenador</t>
        </is>
      </c>
      <c r="K100" s="2" t="inlineStr">
        <is>
          <t>Coordenador Matriz</t>
        </is>
      </c>
      <c r="L100" s="2" t="n">
        <v>211105</v>
      </c>
      <c r="M100" s="2" t="inlineStr">
        <is>
          <t>Avaliação de tempos real</t>
        </is>
      </c>
      <c r="N100" s="2" t="inlineStr">
        <is>
          <t>Elegível</t>
        </is>
      </c>
      <c r="O100" s="2" t="inlineStr">
        <is>
          <t>NAO ELEGIVEL COTA  APRENDIZ</t>
        </is>
      </c>
      <c r="P100" s="2" t="inlineStr">
        <is>
          <t>CLT</t>
        </is>
      </c>
      <c r="Q100" s="2" t="inlineStr">
        <is>
          <t>Preponderante</t>
        </is>
      </c>
      <c r="R100" s="2" t="inlineStr">
        <is>
          <t>Vida e Previdência</t>
        </is>
      </c>
      <c r="S100" s="2" t="inlineStr">
        <is>
          <t>Apoiar no refinamento dos dados para obtenção das bases adequadas, Garantir a homologação de dados imprescindíveis Saúde, transferidos para o ADAC, Proporcionar manutenção adequada aos motores de cálculos</t>
        </is>
      </c>
      <c r="T100" s="2" t="inlineStr">
        <is>
          <t>IE.33.002.M20</t>
        </is>
      </c>
      <c r="U100" s="2" t="inlineStr">
        <is>
          <t>IE.33.002.M20</t>
        </is>
      </c>
    </row>
    <row r="101">
      <c r="A101" s="2" t="inlineStr">
        <is>
          <t>BVP</t>
        </is>
      </c>
      <c r="B101" s="2" t="inlineStr">
        <is>
          <t>PREVIDENCIA</t>
        </is>
      </c>
      <c r="C101" s="2" t="n">
        <v>3408817</v>
      </c>
      <c r="D101" s="2" t="inlineStr">
        <is>
          <t>ANALISTA ATUARIAL SR</t>
        </is>
      </c>
      <c r="E101" s="2" t="n">
        <v>10</v>
      </c>
      <c r="F101" s="2" t="inlineStr">
        <is>
          <t>ATIVO</t>
        </is>
      </c>
      <c r="G101" s="2" t="inlineStr">
        <is>
          <t>Negócios &amp; operações</t>
        </is>
      </c>
      <c r="H101" s="2" t="inlineStr">
        <is>
          <t>Atuarial, modelagem e dados</t>
        </is>
      </c>
      <c r="I101" s="2" t="inlineStr">
        <is>
          <t>Atuarial</t>
        </is>
      </c>
      <c r="J101" s="2" t="inlineStr">
        <is>
          <t>Analista</t>
        </is>
      </c>
      <c r="K101" s="2" t="inlineStr">
        <is>
          <t>Analista Sr</t>
        </is>
      </c>
      <c r="L101" s="2" t="n">
        <v>211105</v>
      </c>
      <c r="M101" s="2" t="inlineStr">
        <is>
          <t>Avaliação de tempos real</t>
        </is>
      </c>
      <c r="N101" s="2" t="inlineStr">
        <is>
          <t>Elegível</t>
        </is>
      </c>
      <c r="O101" s="2" t="inlineStr">
        <is>
          <t>NAO ELEGIVEL COTA  APRENDIZ</t>
        </is>
      </c>
      <c r="P101" s="2" t="inlineStr">
        <is>
          <t>CLT</t>
        </is>
      </c>
      <c r="Q101" s="2" t="inlineStr">
        <is>
          <t>Preponderante</t>
        </is>
      </c>
      <c r="R101" s="2" t="inlineStr">
        <is>
          <t>Vida e Previdência</t>
        </is>
      </c>
      <c r="S101" s="2" t="inlineStr">
        <is>
          <t>Realizar calculos de maior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e auxilia na implementacao de projetos que visem atender as normas estabelecidas pelos orgaos reguladores.</t>
        </is>
      </c>
      <c r="T101" s="2" t="inlineStr">
        <is>
          <t>IE.33.002.P30</t>
        </is>
      </c>
      <c r="U101" s="2" t="inlineStr">
        <is>
          <t>IE.33.002.P30</t>
        </is>
      </c>
    </row>
    <row r="102">
      <c r="A102" s="2" t="inlineStr">
        <is>
          <t>BVP</t>
        </is>
      </c>
      <c r="B102" s="2" t="inlineStr">
        <is>
          <t>PREVIDENCIA</t>
        </is>
      </c>
      <c r="C102" s="2" t="n">
        <v>3408816</v>
      </c>
      <c r="D102" s="2" t="inlineStr">
        <is>
          <t>ANALISTA ATUARIAL PL</t>
        </is>
      </c>
      <c r="E102" s="2" t="n">
        <v>8</v>
      </c>
      <c r="F102" s="2" t="inlineStr">
        <is>
          <t>ATIVO</t>
        </is>
      </c>
      <c r="G102" s="2" t="inlineStr">
        <is>
          <t>Negócios &amp; operações</t>
        </is>
      </c>
      <c r="H102" s="2" t="inlineStr">
        <is>
          <t>Atuarial, modelagem e dados</t>
        </is>
      </c>
      <c r="I102" s="2" t="inlineStr">
        <is>
          <t>Atuarial</t>
        </is>
      </c>
      <c r="J102" s="2" t="inlineStr">
        <is>
          <t>Analista</t>
        </is>
      </c>
      <c r="K102" s="2" t="inlineStr">
        <is>
          <t>Analista Pl</t>
        </is>
      </c>
      <c r="L102" s="2" t="n">
        <v>211105</v>
      </c>
      <c r="M102" s="2" t="inlineStr">
        <is>
          <t>Avaliação de tempos real</t>
        </is>
      </c>
      <c r="N102" s="2" t="inlineStr">
        <is>
          <t>Elegível</t>
        </is>
      </c>
      <c r="O102" s="2" t="inlineStr">
        <is>
          <t>NAO ELEGIVEL COTA  APRENDIZ</t>
        </is>
      </c>
      <c r="P102" s="2" t="inlineStr">
        <is>
          <t>CLT</t>
        </is>
      </c>
      <c r="Q102" s="2" t="inlineStr">
        <is>
          <t>Preponderante</t>
        </is>
      </c>
      <c r="R102" s="2" t="inlineStr">
        <is>
          <t>Vida e Previdência</t>
        </is>
      </c>
      <c r="S102" s="2" t="inlineStr">
        <is>
          <t>Realizar calculos de media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que visem atender as normas estabelecidas pelos orgaos reguladores.</t>
        </is>
      </c>
      <c r="T102" s="2" t="inlineStr">
        <is>
          <t>IE.33.002.P30</t>
        </is>
      </c>
      <c r="U102" s="2" t="inlineStr">
        <is>
          <t>IE.33.002.P30</t>
        </is>
      </c>
    </row>
    <row r="103">
      <c r="A103" s="2" t="inlineStr">
        <is>
          <t>BVP</t>
        </is>
      </c>
      <c r="B103" s="2" t="inlineStr">
        <is>
          <t>PREVIDENCIA</t>
        </is>
      </c>
      <c r="C103" s="2" t="n">
        <v>3408815</v>
      </c>
      <c r="D103" s="2" t="inlineStr">
        <is>
          <t>ANALISTA ATUARIAL JR</t>
        </is>
      </c>
      <c r="E103" s="2" t="n">
        <v>6</v>
      </c>
      <c r="F103" s="2" t="inlineStr">
        <is>
          <t>ATIVO</t>
        </is>
      </c>
      <c r="G103" s="2" t="inlineStr">
        <is>
          <t>Negócios &amp; operações</t>
        </is>
      </c>
      <c r="H103" s="2" t="inlineStr">
        <is>
          <t>Atuarial, modelagem e dados</t>
        </is>
      </c>
      <c r="I103" s="2" t="inlineStr">
        <is>
          <t>Atuarial</t>
        </is>
      </c>
      <c r="J103" s="2" t="inlineStr">
        <is>
          <t>Analista</t>
        </is>
      </c>
      <c r="K103" s="2" t="inlineStr">
        <is>
          <t>Analista Jr</t>
        </is>
      </c>
      <c r="L103" s="2" t="n">
        <v>211105</v>
      </c>
      <c r="M103" s="2" t="inlineStr">
        <is>
          <t>Avaliação de tempos real</t>
        </is>
      </c>
      <c r="N103" s="2" t="inlineStr">
        <is>
          <t>Elegível</t>
        </is>
      </c>
      <c r="O103" s="2" t="inlineStr">
        <is>
          <t>NAO ELEGIVEL COTA  APRENDIZ</t>
        </is>
      </c>
      <c r="P103" s="2" t="inlineStr">
        <is>
          <t>CLT</t>
        </is>
      </c>
      <c r="Q103" s="2" t="inlineStr">
        <is>
          <t>Preponderante</t>
        </is>
      </c>
      <c r="R103" s="2" t="inlineStr">
        <is>
          <t>Vida e Previdência</t>
        </is>
      </c>
      <c r="S103" s="2" t="inlineStr">
        <is>
          <t>Auxiliar os demais atuarios e o gerente da area na realizacao das atividades, no que se refere manipulacao de base de dados, otimizacao de planilhas via VBA (Visual Basic For Aplications), execucao de programas no aplicativo SAS e/ou sistemas atuariais (RAFM/MoSes). Suporte na preparacao de relatorios e analise de indicadores atuariais.</t>
        </is>
      </c>
      <c r="T103" s="2" t="inlineStr">
        <is>
          <t>IE.33.002.P20</t>
        </is>
      </c>
      <c r="U103" s="2" t="inlineStr">
        <is>
          <t>IE.33.002.P20</t>
        </is>
      </c>
    </row>
    <row r="104">
      <c r="A104" s="2" t="inlineStr">
        <is>
          <t>BVP</t>
        </is>
      </c>
      <c r="B104" s="2" t="inlineStr">
        <is>
          <t>PREVIDENCIA</t>
        </is>
      </c>
      <c r="C104" s="2" t="n">
        <v>3410200</v>
      </c>
      <c r="D104" s="2" t="inlineStr">
        <is>
          <t>ANALISTA ASSISTENTE ATUARIAL</t>
        </is>
      </c>
      <c r="E104" s="2" t="n">
        <v>4</v>
      </c>
      <c r="F104" s="2" t="inlineStr">
        <is>
          <t>ATIVO</t>
        </is>
      </c>
      <c r="G104" s="2" t="inlineStr">
        <is>
          <t>Negócios &amp; operações</t>
        </is>
      </c>
      <c r="H104" s="2" t="inlineStr">
        <is>
          <t>Atuarial, modelagem e dados</t>
        </is>
      </c>
      <c r="I104" s="2" t="inlineStr">
        <is>
          <t>Atuarial</t>
        </is>
      </c>
      <c r="J104" s="2" t="inlineStr">
        <is>
          <t>Assistente</t>
        </is>
      </c>
      <c r="K104" s="2" t="inlineStr">
        <is>
          <t>Assistente</t>
        </is>
      </c>
      <c r="L104" s="2" t="n">
        <v>211105</v>
      </c>
      <c r="M104" s="2" t="inlineStr">
        <is>
          <t>Avaliação de tempos real</t>
        </is>
      </c>
      <c r="N104" s="2" t="inlineStr">
        <is>
          <t>Elegível</t>
        </is>
      </c>
      <c r="O104" s="2" t="inlineStr">
        <is>
          <t>NAO ELEGIVEL COTA  APRENDIZ</t>
        </is>
      </c>
      <c r="P104" s="2" t="inlineStr">
        <is>
          <t>CLT</t>
        </is>
      </c>
      <c r="Q104" s="2" t="inlineStr">
        <is>
          <t>Preponderante</t>
        </is>
      </c>
      <c r="R104" s="2" t="inlineStr">
        <is>
          <t>Vida e Previdência</t>
        </is>
      </c>
      <c r="S104" s="2" t="inlineStr">
        <is>
          <t>Auxiliar os demais atuarios e o gerente da area na realizacao das atividades, no que se refere manipulacao de base de dados, otimizacao de planilhas via VBA (Visual Basic For Aplications), execucao de programas no aplicativo SAS e/ou sistemas atuariais (RAFM/MoSes). Suporte na preparacao de relatorios e analise de indicadores atuariais.</t>
        </is>
      </c>
      <c r="T104" s="2" t="inlineStr">
        <is>
          <t>IE.26.002.S20</t>
        </is>
      </c>
      <c r="U104" s="2" t="inlineStr">
        <is>
          <t>IE.26.002.S20</t>
        </is>
      </c>
    </row>
    <row r="105">
      <c r="A105" s="2" t="inlineStr">
        <is>
          <t>CAP</t>
        </is>
      </c>
      <c r="B105" s="2" t="inlineStr">
        <is>
          <t>CAPITALIZ</t>
        </is>
      </c>
      <c r="C105" s="2" t="n">
        <v>7311276</v>
      </c>
      <c r="D105" s="2" t="inlineStr">
        <is>
          <t>ESPECIALISTA ATUARIAL</t>
        </is>
      </c>
      <c r="E105" s="2" t="n">
        <v>12</v>
      </c>
      <c r="F105" s="2" t="inlineStr">
        <is>
          <t>ATIVO</t>
        </is>
      </c>
      <c r="G105" s="2" t="inlineStr">
        <is>
          <t>Negócios &amp; operações</t>
        </is>
      </c>
      <c r="H105" s="2" t="inlineStr">
        <is>
          <t>Atuarial, modelagem e dados</t>
        </is>
      </c>
      <c r="I105" s="2" t="inlineStr">
        <is>
          <t>Atuarial</t>
        </is>
      </c>
      <c r="J105" s="2" t="inlineStr">
        <is>
          <t>GA</t>
        </is>
      </c>
      <c r="K105" s="2" t="inlineStr">
        <is>
          <t>Especialista</t>
        </is>
      </c>
      <c r="L105" s="2" t="n">
        <v>211105</v>
      </c>
      <c r="M105" s="2" t="inlineStr">
        <is>
          <t>Avaliação de tempos teórica</t>
        </is>
      </c>
      <c r="N105" s="2" t="inlineStr">
        <is>
          <t>Não elegível</t>
        </is>
      </c>
      <c r="O105" s="2" t="inlineStr">
        <is>
          <t>NAO ELEGIVEL COTA  APRENDIZ</t>
        </is>
      </c>
      <c r="P105" s="2" t="inlineStr">
        <is>
          <t>CLT</t>
        </is>
      </c>
      <c r="Q105" s="2" t="inlineStr">
        <is>
          <t>Preponderante</t>
        </is>
      </c>
      <c r="R105" s="2" t="inlineStr">
        <is>
          <t>Vida e Previdência</t>
        </is>
      </c>
      <c r="S105" s="2" t="inlineStr">
        <is>
          <t>Responsavel por desenvolver o refinamento dos dados para obtenção das bases adequadas, Garantir a homologação de dados imprescindíveis Saúde, transferidos para o ADAC, Proporcionar manutenção adequada aos motores de cálculos</t>
        </is>
      </c>
      <c r="T105" s="2" t="inlineStr">
        <is>
          <t>IE.33.002.M30</t>
        </is>
      </c>
      <c r="U105" s="2" t="inlineStr">
        <is>
          <t>IE.33.002.M30</t>
        </is>
      </c>
    </row>
    <row r="106">
      <c r="A106" s="2" t="inlineStr">
        <is>
          <t>CAP</t>
        </is>
      </c>
      <c r="B106" s="2" t="inlineStr">
        <is>
          <t>CAPITALIZ</t>
        </is>
      </c>
      <c r="C106" s="2" t="n">
        <v>7310290</v>
      </c>
      <c r="D106" s="2" t="inlineStr">
        <is>
          <t>CONSULTOR ATUARIAL</t>
        </is>
      </c>
      <c r="E106" s="2" t="n">
        <v>11</v>
      </c>
      <c r="F106" s="2" t="inlineStr">
        <is>
          <t>ATIVO</t>
        </is>
      </c>
      <c r="G106" s="2" t="inlineStr">
        <is>
          <t>Negócios &amp; operações</t>
        </is>
      </c>
      <c r="H106" s="2" t="inlineStr">
        <is>
          <t>Atuarial, modelagem e dados</t>
        </is>
      </c>
      <c r="I106" s="2" t="inlineStr">
        <is>
          <t>Atuarial</t>
        </is>
      </c>
      <c r="J106" s="2" t="inlineStr">
        <is>
          <t>Especialista</t>
        </is>
      </c>
      <c r="K106" s="2" t="inlineStr">
        <is>
          <t>Consultor</t>
        </is>
      </c>
      <c r="L106" s="2" t="n">
        <v>211105</v>
      </c>
      <c r="M106" s="2" t="inlineStr">
        <is>
          <t>Avaliação de tempos teórica</t>
        </is>
      </c>
      <c r="N106" s="2" t="inlineStr">
        <is>
          <t>Não elegível</t>
        </is>
      </c>
      <c r="O106" s="2" t="inlineStr">
        <is>
          <t>NAO ELEGIVEL COTA  APRENDIZ</t>
        </is>
      </c>
      <c r="P106" s="2" t="inlineStr">
        <is>
          <t>CLT</t>
        </is>
      </c>
      <c r="Q106" s="2" t="inlineStr">
        <is>
          <t>Preponderante</t>
        </is>
      </c>
      <c r="R106" s="2" t="inlineStr">
        <is>
          <t>Vida e Previdência</t>
        </is>
      </c>
      <c r="S106" s="2" t="inlineStr">
        <is>
          <t>Apoiar no refinamento dos dados para obtenção das bases adequadas, Garantir a homologação de dados imprescindíveis, transferidos para o ADAC, Proporcionar manutenção adequada aos motores de cálculos</t>
        </is>
      </c>
      <c r="T106" s="2" t="inlineStr">
        <is>
          <t>IE.33.002.P40</t>
        </is>
      </c>
      <c r="U106" s="2" t="inlineStr">
        <is>
          <t>IE.33.002.P40</t>
        </is>
      </c>
    </row>
    <row r="107">
      <c r="A107" s="2" t="inlineStr">
        <is>
          <t>HOLDING</t>
        </is>
      </c>
      <c r="B107" s="2" t="inlineStr">
        <is>
          <t>HOLDING</t>
        </is>
      </c>
      <c r="C107" s="2" t="n">
        <v>6111276</v>
      </c>
      <c r="D107" s="2" t="inlineStr">
        <is>
          <t>ESPECIALISTA ATUARIAL I</t>
        </is>
      </c>
      <c r="E107" s="2" t="n">
        <v>12</v>
      </c>
      <c r="F107" s="2" t="inlineStr">
        <is>
          <t>ATIVO</t>
        </is>
      </c>
      <c r="G107" s="2" t="inlineStr">
        <is>
          <t>Negócios &amp; operações</t>
        </is>
      </c>
      <c r="H107" s="2" t="inlineStr">
        <is>
          <t>Atuarial, modelagem e dados</t>
        </is>
      </c>
      <c r="I107" s="2" t="inlineStr">
        <is>
          <t>Atuarial</t>
        </is>
      </c>
      <c r="J107" s="2" t="inlineStr">
        <is>
          <t>GA</t>
        </is>
      </c>
      <c r="K107" s="2" t="inlineStr">
        <is>
          <t>Especialista</t>
        </is>
      </c>
      <c r="L107" s="2" t="n">
        <v>211105</v>
      </c>
      <c r="M107" s="2" t="inlineStr">
        <is>
          <t>Avaliação de tempos teórica</t>
        </is>
      </c>
      <c r="N107" s="2" t="inlineStr">
        <is>
          <t>Não elegível</t>
        </is>
      </c>
      <c r="O107" s="2" t="inlineStr">
        <is>
          <t>NAO ELEGIVEL COTA  APRENDIZ</t>
        </is>
      </c>
      <c r="P107" s="2" t="inlineStr">
        <is>
          <t>CLT</t>
        </is>
      </c>
      <c r="Q107" s="2" t="inlineStr">
        <is>
          <t>Preponderante</t>
        </is>
      </c>
      <c r="R107" s="2" t="inlineStr">
        <is>
          <t>Elementares</t>
        </is>
      </c>
      <c r="S107" s="2" t="inlineStr">
        <is>
          <t>Responsavel por desenvolver o refinamento dos dados para obtenção das bases adequadas, Garantir a homologação de dados imprescindíveis Saúde, transferidos para o ADAC, Proporcionar manutenção adequada aos motores de cálculos</t>
        </is>
      </c>
      <c r="T107" s="2" t="inlineStr">
        <is>
          <t>IE.33.002.M30</t>
        </is>
      </c>
      <c r="U107" s="2" t="inlineStr">
        <is>
          <t>IE.33.002.M30</t>
        </is>
      </c>
    </row>
    <row r="108">
      <c r="A108" s="2" t="inlineStr">
        <is>
          <t>HOLDING</t>
        </is>
      </c>
      <c r="B108" s="2" t="inlineStr">
        <is>
          <t>HOLDING</t>
        </is>
      </c>
      <c r="C108" s="2" t="n">
        <v>6108849</v>
      </c>
      <c r="D108" s="2" t="inlineStr">
        <is>
          <t>GERENTE ATUARIAL</t>
        </is>
      </c>
      <c r="E108" s="2" t="n">
        <v>12</v>
      </c>
      <c r="F108" s="2" t="inlineStr">
        <is>
          <t>ATIVO</t>
        </is>
      </c>
      <c r="G108" s="2" t="inlineStr">
        <is>
          <t>Negócios &amp; operações</t>
        </is>
      </c>
      <c r="H108" s="2" t="inlineStr">
        <is>
          <t>Atuarial, modelagem e dados</t>
        </is>
      </c>
      <c r="I108" s="2" t="inlineStr">
        <is>
          <t>Atuarial</t>
        </is>
      </c>
      <c r="J108" s="2" t="inlineStr">
        <is>
          <t>GA</t>
        </is>
      </c>
      <c r="K108" s="2" t="inlineStr">
        <is>
          <t>GA</t>
        </is>
      </c>
      <c r="L108" s="2" t="n">
        <v>211105</v>
      </c>
      <c r="M108" s="2" t="inlineStr">
        <is>
          <t>Avaliação de tempos teórica</t>
        </is>
      </c>
      <c r="N108" s="2" t="inlineStr">
        <is>
          <t>Não elegível</t>
        </is>
      </c>
      <c r="O108" s="2" t="inlineStr">
        <is>
          <t>NAO ELEGIVEL COTA  APRENDIZ</t>
        </is>
      </c>
      <c r="P108" s="2" t="inlineStr">
        <is>
          <t>CLT</t>
        </is>
      </c>
      <c r="Q108" s="2" t="inlineStr">
        <is>
          <t>Preponderante</t>
        </is>
      </c>
      <c r="R108" s="2" t="inlineStr">
        <is>
          <t>Elementares</t>
        </is>
      </c>
      <c r="S108" s="2" t="inlineStr">
        <is>
          <t>Gerenciar a equipe referente aos calculos atuariais, analisando e revisando os trabalhos e projetos de natureza atuarial, executados pela area.</t>
        </is>
      </c>
      <c r="T108" s="2" t="inlineStr">
        <is>
          <t>IE.33.002.M30</t>
        </is>
      </c>
      <c r="U108" s="2" t="inlineStr">
        <is>
          <t>IE.33.002.M30</t>
        </is>
      </c>
    </row>
    <row r="109">
      <c r="A109" s="2" t="inlineStr">
        <is>
          <t>HOLDING</t>
        </is>
      </c>
      <c r="B109" s="2" t="inlineStr">
        <is>
          <t>HOLDING</t>
        </is>
      </c>
      <c r="C109" s="2" t="n">
        <v>6110290</v>
      </c>
      <c r="D109" s="2" t="inlineStr">
        <is>
          <t>CONSULTOR ATUARIAL</t>
        </is>
      </c>
      <c r="E109" s="2" t="n">
        <v>11</v>
      </c>
      <c r="F109" s="2" t="inlineStr">
        <is>
          <t>ATIVO</t>
        </is>
      </c>
      <c r="G109" s="2" t="inlineStr">
        <is>
          <t>Negócios &amp; operações</t>
        </is>
      </c>
      <c r="H109" s="2" t="inlineStr">
        <is>
          <t>Atuarial, modelagem e dados</t>
        </is>
      </c>
      <c r="I109" s="2" t="inlineStr">
        <is>
          <t>Atuarial</t>
        </is>
      </c>
      <c r="J109" s="2" t="inlineStr">
        <is>
          <t>Especialista</t>
        </is>
      </c>
      <c r="K109" s="2" t="inlineStr">
        <is>
          <t>Consultor</t>
        </is>
      </c>
      <c r="L109" s="2" t="n">
        <v>211105</v>
      </c>
      <c r="M109" s="2" t="inlineStr">
        <is>
          <t>Avaliação de tempos real</t>
        </is>
      </c>
      <c r="N109" s="2" t="inlineStr">
        <is>
          <t>Elegível</t>
        </is>
      </c>
      <c r="O109" s="2" t="inlineStr">
        <is>
          <t>NAO ELEGIVEL COTA  APRENDIZ</t>
        </is>
      </c>
      <c r="P109" s="2" t="inlineStr">
        <is>
          <t>CLT</t>
        </is>
      </c>
      <c r="Q109" s="2" t="inlineStr">
        <is>
          <t>Preponderante</t>
        </is>
      </c>
      <c r="R109" s="2" t="inlineStr">
        <is>
          <t>Elementares</t>
        </is>
      </c>
      <c r="S109" s="2" t="inlineStr">
        <is>
          <t>Apoiar no refinamento dos dados para obtenção das bases adequadas, Garantir a homologação de dados imprescindíveis Saúde, transferidos para o ADAC, Proporcionar manutenção adequada aos motores de cálculos</t>
        </is>
      </c>
      <c r="T109" s="2" t="inlineStr">
        <is>
          <t>IE.33.002.P40</t>
        </is>
      </c>
      <c r="U109" s="2" t="inlineStr">
        <is>
          <t>IE.33.002.P40</t>
        </is>
      </c>
    </row>
    <row r="110">
      <c r="A110" s="2" t="inlineStr">
        <is>
          <t>HOLDING</t>
        </is>
      </c>
      <c r="B110" s="2" t="inlineStr">
        <is>
          <t>HOLDING</t>
        </is>
      </c>
      <c r="C110" s="2" t="n">
        <v>6115403</v>
      </c>
      <c r="D110" s="2" t="inlineStr">
        <is>
          <t>COORDENADOR ATUARIAL</t>
        </is>
      </c>
      <c r="E110" s="2" t="n">
        <v>11</v>
      </c>
      <c r="F110" s="2" t="inlineStr">
        <is>
          <t>ATIVO</t>
        </is>
      </c>
      <c r="G110" s="2" t="inlineStr">
        <is>
          <t>Negócios &amp; operações</t>
        </is>
      </c>
      <c r="H110" s="2" t="inlineStr">
        <is>
          <t>Atuarial, modelagem e dados</t>
        </is>
      </c>
      <c r="I110" s="2" t="inlineStr">
        <is>
          <t>Atuarial</t>
        </is>
      </c>
      <c r="J110" s="2" t="inlineStr">
        <is>
          <t>Coordenador</t>
        </is>
      </c>
      <c r="K110" s="2" t="inlineStr">
        <is>
          <t>Coordenador Matriz</t>
        </is>
      </c>
      <c r="L110" s="2" t="n">
        <v>211105</v>
      </c>
      <c r="M110" s="2" t="inlineStr">
        <is>
          <t>Avaliação de tempos real</t>
        </is>
      </c>
      <c r="N110" s="2" t="inlineStr">
        <is>
          <t>Elegível</t>
        </is>
      </c>
      <c r="O110" s="2" t="inlineStr">
        <is>
          <t>NAO ELEGIVEL COTA  APRENDIZ</t>
        </is>
      </c>
      <c r="P110" s="2" t="inlineStr">
        <is>
          <t>CLT</t>
        </is>
      </c>
      <c r="Q110" s="2" t="inlineStr">
        <is>
          <t>Preponderante</t>
        </is>
      </c>
      <c r="R110" s="2" t="inlineStr">
        <is>
          <t>Elementares</t>
        </is>
      </c>
      <c r="S110" s="2" t="inlineStr">
        <is>
          <t>Apoiar no refinamento dos dados para obtenção das bases adequadas, Garantir a homologação de dados imprescindíveis Saúde, transferidos para o ADAC, Proporcionar manutenção adequada aos motores de cálculos</t>
        </is>
      </c>
      <c r="T110" s="2" t="inlineStr">
        <is>
          <t>IE.33.002.M20</t>
        </is>
      </c>
      <c r="U110" s="2" t="inlineStr">
        <is>
          <t>IE.33.002.M20</t>
        </is>
      </c>
    </row>
    <row r="111">
      <c r="A111" s="2" t="inlineStr">
        <is>
          <t>HOLDING</t>
        </is>
      </c>
      <c r="B111" s="2" t="inlineStr">
        <is>
          <t>HOLDING</t>
        </is>
      </c>
      <c r="C111" s="2" t="n">
        <v>6108817</v>
      </c>
      <c r="D111" s="2" t="inlineStr">
        <is>
          <t>ANALISTA ATUARIAL SR</t>
        </is>
      </c>
      <c r="E111" s="2" t="n">
        <v>10</v>
      </c>
      <c r="F111" s="2" t="inlineStr">
        <is>
          <t>ATIVO</t>
        </is>
      </c>
      <c r="G111" s="2" t="inlineStr">
        <is>
          <t>Negócios &amp; operações</t>
        </is>
      </c>
      <c r="H111" s="2" t="inlineStr">
        <is>
          <t>Atuarial, modelagem e dados</t>
        </is>
      </c>
      <c r="I111" s="2" t="inlineStr">
        <is>
          <t>Atuarial</t>
        </is>
      </c>
      <c r="J111" s="2" t="inlineStr">
        <is>
          <t>Analista</t>
        </is>
      </c>
      <c r="K111" s="2" t="inlineStr">
        <is>
          <t>Analista Sr</t>
        </is>
      </c>
      <c r="L111" s="2" t="n">
        <v>211105</v>
      </c>
      <c r="M111" s="2" t="inlineStr">
        <is>
          <t>Avaliação de tempos real</t>
        </is>
      </c>
      <c r="N111" s="2" t="inlineStr">
        <is>
          <t>Elegível</t>
        </is>
      </c>
      <c r="O111" s="2" t="inlineStr">
        <is>
          <t>NAO ELEGIVEL COTA  APRENDIZ</t>
        </is>
      </c>
      <c r="P111" s="2" t="inlineStr">
        <is>
          <t>CLT</t>
        </is>
      </c>
      <c r="Q111" s="2" t="inlineStr">
        <is>
          <t>Preponderante</t>
        </is>
      </c>
      <c r="R111" s="2" t="inlineStr">
        <is>
          <t>Elementares</t>
        </is>
      </c>
      <c r="S111" s="2" t="inlineStr">
        <is>
          <t>Realizar calculos de maior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e auxilia na implementacao de projetos que visem atender as normas estabelecidas pelos orgaos reguladores.</t>
        </is>
      </c>
      <c r="T111" s="2" t="inlineStr">
        <is>
          <t>IE.33.002.P30</t>
        </is>
      </c>
      <c r="U111" s="2" t="inlineStr">
        <is>
          <t>IE.33.002.P30</t>
        </is>
      </c>
    </row>
    <row r="112">
      <c r="A112" s="2" t="inlineStr">
        <is>
          <t>HOLDING</t>
        </is>
      </c>
      <c r="B112" s="2" t="inlineStr">
        <is>
          <t>HOLDING</t>
        </is>
      </c>
      <c r="C112" s="2" t="n">
        <v>6108816</v>
      </c>
      <c r="D112" s="2" t="inlineStr">
        <is>
          <t>ANALISTA ATUARIAL PL</t>
        </is>
      </c>
      <c r="E112" s="2" t="n">
        <v>8</v>
      </c>
      <c r="F112" s="2" t="inlineStr">
        <is>
          <t>ATIVO</t>
        </is>
      </c>
      <c r="G112" s="2" t="inlineStr">
        <is>
          <t>Negócios &amp; operações</t>
        </is>
      </c>
      <c r="H112" s="2" t="inlineStr">
        <is>
          <t>Atuarial, modelagem e dados</t>
        </is>
      </c>
      <c r="I112" s="2" t="inlineStr">
        <is>
          <t>Atuarial</t>
        </is>
      </c>
      <c r="J112" s="2" t="inlineStr">
        <is>
          <t>Analista</t>
        </is>
      </c>
      <c r="K112" s="2" t="inlineStr">
        <is>
          <t>Analista Pl</t>
        </is>
      </c>
      <c r="L112" s="2" t="n">
        <v>211105</v>
      </c>
      <c r="M112" s="2" t="inlineStr">
        <is>
          <t>Avaliação de tempos real</t>
        </is>
      </c>
      <c r="N112" s="2" t="inlineStr">
        <is>
          <t>Elegível</t>
        </is>
      </c>
      <c r="O112" s="2" t="inlineStr">
        <is>
          <t>NAO ELEGIVEL COTA  APRENDIZ</t>
        </is>
      </c>
      <c r="P112" s="2" t="inlineStr">
        <is>
          <t>CLT</t>
        </is>
      </c>
      <c r="Q112" s="2" t="inlineStr">
        <is>
          <t>Preponderante</t>
        </is>
      </c>
      <c r="R112" s="2" t="inlineStr">
        <is>
          <t>Elementares</t>
        </is>
      </c>
      <c r="S112" s="2" t="inlineStr">
        <is>
          <t>Realizar calculos de media complexidade relacionados as provisoes tecnicas, utilizando metodologias atuariais e estatisticas, para o trabalho de Certificacao das Provisoes Tecnicas, desenvolvimento do Fluxo das Provisoes Tecnicas e tambem no calculo de Capital Minimo Regulatorio. Alem disso, tambem desenvolve controles legais atraves de relatorios que visem atender as normas estabelecidas pelos orgaos reguladores.</t>
        </is>
      </c>
      <c r="T112" s="2" t="inlineStr">
        <is>
          <t>IE.33.002.P30</t>
        </is>
      </c>
      <c r="U112" s="2" t="inlineStr">
        <is>
          <t>IE.33.002.P30</t>
        </is>
      </c>
    </row>
    <row r="113">
      <c r="A113" s="2" t="inlineStr">
        <is>
          <t>HOLDING</t>
        </is>
      </c>
      <c r="B113" s="2" t="inlineStr">
        <is>
          <t>HOLDING</t>
        </is>
      </c>
      <c r="C113" s="2" t="n">
        <v>6108815</v>
      </c>
      <c r="D113" s="2" t="inlineStr">
        <is>
          <t>ANALISTA ATUARIAL JR</t>
        </is>
      </c>
      <c r="E113" s="2" t="n">
        <v>6</v>
      </c>
      <c r="F113" s="2" t="inlineStr">
        <is>
          <t>ATIVO</t>
        </is>
      </c>
      <c r="G113" s="2" t="inlineStr">
        <is>
          <t>Negócios &amp; operações</t>
        </is>
      </c>
      <c r="H113" s="2" t="inlineStr">
        <is>
          <t>Atuarial, modelagem e dados</t>
        </is>
      </c>
      <c r="I113" s="2" t="inlineStr">
        <is>
          <t>Atuarial</t>
        </is>
      </c>
      <c r="J113" s="2" t="inlineStr">
        <is>
          <t>Analista</t>
        </is>
      </c>
      <c r="K113" s="2" t="inlineStr">
        <is>
          <t>Analista Jr</t>
        </is>
      </c>
      <c r="L113" s="2" t="n">
        <v>211105</v>
      </c>
      <c r="M113" s="2" t="inlineStr">
        <is>
          <t>Avaliação de tempos real</t>
        </is>
      </c>
      <c r="N113" s="2" t="inlineStr">
        <is>
          <t>Elegível</t>
        </is>
      </c>
      <c r="O113" s="2" t="inlineStr">
        <is>
          <t>NAO ELEGIVEL COTA  APRENDIZ</t>
        </is>
      </c>
      <c r="P113" s="2" t="inlineStr">
        <is>
          <t>CLT</t>
        </is>
      </c>
      <c r="Q113" s="2" t="inlineStr">
        <is>
          <t>Preponderante</t>
        </is>
      </c>
      <c r="R113" s="2" t="inlineStr">
        <is>
          <t>Elementares</t>
        </is>
      </c>
      <c r="S113" s="2" t="inlineStr">
        <is>
          <t>Auxiliar os demais atuarios e o gerente da area na realizacao das atividades, no que se refere manipulacao de base de dados, otimizacao de planilhas via VBA (Visual Basic For Aplications), execucao de programas no aplicativo SAS e/ou sistemas atuariais (RAFM/MoSes). Suporte na preparacao de relatorios e analise de indicadores atuariais.</t>
        </is>
      </c>
      <c r="T113" s="2" t="inlineStr">
        <is>
          <t>IE.33.002.P20</t>
        </is>
      </c>
      <c r="U113" s="2" t="inlineStr">
        <is>
          <t>IE.33.002.P20</t>
        </is>
      </c>
    </row>
    <row r="114">
      <c r="A114" s="2" t="inlineStr">
        <is>
          <t>HOLDING</t>
        </is>
      </c>
      <c r="B114" s="2" t="inlineStr">
        <is>
          <t>HOLDING</t>
        </is>
      </c>
      <c r="C114" s="2" t="n">
        <v>6110200</v>
      </c>
      <c r="D114" s="2" t="inlineStr">
        <is>
          <t>ANALISTA ASSISTENTE ATUARIAL</t>
        </is>
      </c>
      <c r="E114" s="2" t="n">
        <v>4</v>
      </c>
      <c r="F114" s="2" t="inlineStr">
        <is>
          <t>ATIVO</t>
        </is>
      </c>
      <c r="G114" s="2" t="inlineStr">
        <is>
          <t>Negócios &amp; operações</t>
        </is>
      </c>
      <c r="H114" s="2" t="inlineStr">
        <is>
          <t>Atuarial, modelagem e dados</t>
        </is>
      </c>
      <c r="I114" s="2" t="inlineStr">
        <is>
          <t>Atuarial</t>
        </is>
      </c>
      <c r="J114" s="2" t="inlineStr">
        <is>
          <t>Assistente</t>
        </is>
      </c>
      <c r="K114" s="2" t="inlineStr">
        <is>
          <t>Assistente</t>
        </is>
      </c>
      <c r="L114" s="2" t="n">
        <v>211105</v>
      </c>
      <c r="M114" s="2" t="inlineStr">
        <is>
          <t>Avaliação de tempos real</t>
        </is>
      </c>
      <c r="N114" s="2" t="inlineStr">
        <is>
          <t>Elegível</t>
        </is>
      </c>
      <c r="O114" s="2" t="inlineStr">
        <is>
          <t>NAO ELEGIVEL COTA  APRENDIZ</t>
        </is>
      </c>
      <c r="P114" s="2" t="inlineStr">
        <is>
          <t>CLT</t>
        </is>
      </c>
      <c r="Q114" s="2" t="inlineStr">
        <is>
          <t>Preponderante</t>
        </is>
      </c>
      <c r="R114" s="2" t="inlineStr">
        <is>
          <t>Elementares</t>
        </is>
      </c>
      <c r="S114" s="2" t="inlineStr">
        <is>
          <t>Apoiar na realizacao das atividades da área para assegurar o pleno funcionamento e fornecer subsidios a liderança em suas tomadas de decisoes.</t>
        </is>
      </c>
      <c r="T114" s="2" t="inlineStr">
        <is>
          <t>IE.26.002.S20</t>
        </is>
      </c>
      <c r="U114" s="2" t="inlineStr">
        <is>
          <t>IE.26.002.S20</t>
        </is>
      </c>
    </row>
    <row r="115">
      <c r="A115" s="2" t="inlineStr">
        <is>
          <t>NOVAMED</t>
        </is>
      </c>
      <c r="B115" s="2" t="inlineStr">
        <is>
          <t>NOVAMED</t>
        </is>
      </c>
      <c r="C115" s="2" t="n">
        <v>11611276</v>
      </c>
      <c r="D115" s="2" t="inlineStr">
        <is>
          <t>ESPECIALISTA ATUARIAL</t>
        </is>
      </c>
      <c r="E115" s="2" t="n">
        <v>12</v>
      </c>
      <c r="F115" s="2" t="inlineStr">
        <is>
          <t>ATIVO</t>
        </is>
      </c>
      <c r="G115" s="2" t="inlineStr">
        <is>
          <t>Negócios &amp; operações</t>
        </is>
      </c>
      <c r="H115" s="2" t="inlineStr">
        <is>
          <t>Atuarial, modelagem e dados</t>
        </is>
      </c>
      <c r="I115" s="2" t="inlineStr">
        <is>
          <t>Atuarial</t>
        </is>
      </c>
      <c r="J115" s="2" t="inlineStr">
        <is>
          <t>GA</t>
        </is>
      </c>
      <c r="K115" s="2" t="inlineStr">
        <is>
          <t>Especialista</t>
        </is>
      </c>
      <c r="L115" s="2" t="n">
        <v>211105</v>
      </c>
      <c r="M115" s="2" t="inlineStr">
        <is>
          <t>Avaliação de tempos teórica</t>
        </is>
      </c>
      <c r="N115" s="2" t="inlineStr">
        <is>
          <t>Não elegível</t>
        </is>
      </c>
      <c r="O115" s="2" t="inlineStr">
        <is>
          <t>NAO ELEGIVEL COTA  APRENDIZ</t>
        </is>
      </c>
      <c r="P115" s="2" t="inlineStr">
        <is>
          <t>CLT</t>
        </is>
      </c>
      <c r="Q115" s="2" t="inlineStr">
        <is>
          <t>Preponderante</t>
        </is>
      </c>
      <c r="R115" s="2" t="inlineStr">
        <is>
          <t>Saúde</t>
        </is>
      </c>
      <c r="S115" s="2" t="inlineStr">
        <is>
          <t>Responsavel por desenvolver o refinamento dos dados para obtenção das bases adequadas, Garantir a homologação de dados imprescindíveis Saúde, transferidos para o ADAC, Proporcionar manutenção adequada aos motores de cálculos</t>
        </is>
      </c>
      <c r="T115" s="2" t="inlineStr">
        <is>
          <t>IE.33.002.M30</t>
        </is>
      </c>
      <c r="U115" s="2" t="inlineStr">
        <is>
          <t>IE.33.002.M30</t>
        </is>
      </c>
    </row>
    <row r="116">
      <c r="A116" s="2" t="inlineStr">
        <is>
          <t>NOVAMED</t>
        </is>
      </c>
      <c r="B116" s="2" t="inlineStr">
        <is>
          <t>NOVAMED</t>
        </is>
      </c>
      <c r="C116" s="2" t="n">
        <v>11610290</v>
      </c>
      <c r="D116" s="2" t="inlineStr">
        <is>
          <t>CONSULTOR ATUARIAL</t>
        </is>
      </c>
      <c r="E116" s="2" t="n">
        <v>11</v>
      </c>
      <c r="F116" s="2" t="inlineStr">
        <is>
          <t>ATIVO</t>
        </is>
      </c>
      <c r="G116" s="2" t="inlineStr">
        <is>
          <t>Negócios &amp; operações</t>
        </is>
      </c>
      <c r="H116" s="2" t="inlineStr">
        <is>
          <t>Atuarial, modelagem e dados</t>
        </is>
      </c>
      <c r="I116" s="2" t="inlineStr">
        <is>
          <t>Atuarial</t>
        </is>
      </c>
      <c r="J116" s="2" t="inlineStr">
        <is>
          <t>Especialista</t>
        </is>
      </c>
      <c r="K116" s="2" t="inlineStr">
        <is>
          <t>Consultor</t>
        </is>
      </c>
      <c r="L116" s="2" t="n">
        <v>211105</v>
      </c>
      <c r="M116" s="2" t="inlineStr">
        <is>
          <t>Avaliação de tempos teórica</t>
        </is>
      </c>
      <c r="N116" s="2" t="inlineStr">
        <is>
          <t>Não elegível</t>
        </is>
      </c>
      <c r="O116" s="2" t="inlineStr">
        <is>
          <t>NAO ELEGIVEL COTA  APRENDIZ</t>
        </is>
      </c>
      <c r="P116" s="2" t="inlineStr">
        <is>
          <t>CLT</t>
        </is>
      </c>
      <c r="Q116" s="2" t="inlineStr">
        <is>
          <t>Preponderante</t>
        </is>
      </c>
      <c r="R116" s="2" t="inlineStr">
        <is>
          <t>Saúde</t>
        </is>
      </c>
      <c r="S116" s="2" t="inlineStr">
        <is>
          <t>Apoiar no refinamento dos dados para obtenção das bases adequadas, Garantir a homologação de dados imprescindíveis Saúde, transferidos para o ADAC, Proporcionar manutenção adequada aos motores de cálculos</t>
        </is>
      </c>
      <c r="T116" s="2" t="inlineStr">
        <is>
          <t>IE.33.002.P40</t>
        </is>
      </c>
      <c r="U116" s="2" t="inlineStr">
        <is>
          <t>IE.33.002.P40</t>
        </is>
      </c>
    </row>
    <row r="117">
      <c r="A117" s="2" t="inlineStr">
        <is>
          <t>SAUDE</t>
        </is>
      </c>
      <c r="B117" s="2" t="inlineStr">
        <is>
          <t>SAUDE</t>
        </is>
      </c>
      <c r="C117" s="2" t="n">
        <v>6311276</v>
      </c>
      <c r="D117" s="2" t="inlineStr">
        <is>
          <t>ESPECIALISTA ATUARIAL I</t>
        </is>
      </c>
      <c r="E117" s="2" t="n">
        <v>12</v>
      </c>
      <c r="F117" s="2" t="inlineStr">
        <is>
          <t>ATIVO</t>
        </is>
      </c>
      <c r="G117" s="2" t="inlineStr">
        <is>
          <t>Negócios &amp; operações</t>
        </is>
      </c>
      <c r="H117" s="2" t="inlineStr">
        <is>
          <t>Atuarial, modelagem e dados</t>
        </is>
      </c>
      <c r="I117" s="2" t="inlineStr">
        <is>
          <t>Atuarial</t>
        </is>
      </c>
      <c r="J117" s="2" t="inlineStr">
        <is>
          <t>GA</t>
        </is>
      </c>
      <c r="K117" s="2" t="inlineStr">
        <is>
          <t>Especialista</t>
        </is>
      </c>
      <c r="L117" s="2" t="n">
        <v>211105</v>
      </c>
      <c r="M117" s="2" t="inlineStr">
        <is>
          <t>Avaliação de tempos teórica</t>
        </is>
      </c>
      <c r="N117" s="2" t="inlineStr">
        <is>
          <t>Não elegível</t>
        </is>
      </c>
      <c r="O117" s="2" t="inlineStr">
        <is>
          <t>NAO ELEGIVEL COTA  APRENDIZ</t>
        </is>
      </c>
      <c r="P117" s="2" t="inlineStr">
        <is>
          <t>CLT</t>
        </is>
      </c>
      <c r="Q117" s="2" t="inlineStr">
        <is>
          <t>Preponderante</t>
        </is>
      </c>
      <c r="R117" s="2" t="inlineStr">
        <is>
          <t>Saúde</t>
        </is>
      </c>
      <c r="S117" s="2" t="inlineStr">
        <is>
          <t>Responsavel por desenvolver o refinamento dos dados para obtenção das bases adequadas, Garantir a homologação de dados imprescindíveis Saúde, transferidos para o ADAC, Proporcionar manutenção adequada aos motores de cálculos</t>
        </is>
      </c>
      <c r="T117" s="2" t="inlineStr">
        <is>
          <t>IE.33.002.M30</t>
        </is>
      </c>
      <c r="U117" s="2" t="inlineStr">
        <is>
          <t>IE.33.002.M30</t>
        </is>
      </c>
    </row>
    <row r="118">
      <c r="A118" s="2" t="inlineStr">
        <is>
          <t>SAUDE</t>
        </is>
      </c>
      <c r="B118" s="2" t="inlineStr">
        <is>
          <t>SAUDE</t>
        </is>
      </c>
      <c r="C118" s="2" t="n">
        <v>6308849</v>
      </c>
      <c r="D118" s="2" t="inlineStr">
        <is>
          <t>GERENTE ATUARIAL</t>
        </is>
      </c>
      <c r="E118" s="2" t="n">
        <v>12</v>
      </c>
      <c r="F118" s="2" t="inlineStr">
        <is>
          <t>ATIVO</t>
        </is>
      </c>
      <c r="G118" s="2" t="inlineStr">
        <is>
          <t>Negócios &amp; operações</t>
        </is>
      </c>
      <c r="H118" s="2" t="inlineStr">
        <is>
          <t>Atuarial, modelagem e dados</t>
        </is>
      </c>
      <c r="I118" s="2" t="inlineStr">
        <is>
          <t>Atuarial</t>
        </is>
      </c>
      <c r="J118" s="2" t="inlineStr">
        <is>
          <t>GA</t>
        </is>
      </c>
      <c r="K118" s="2" t="inlineStr">
        <is>
          <t>GA</t>
        </is>
      </c>
      <c r="L118" s="2" t="n">
        <v>211105</v>
      </c>
      <c r="M118" s="2" t="inlineStr">
        <is>
          <t>Avaliação de tempos teórica</t>
        </is>
      </c>
      <c r="N118" s="2" t="inlineStr">
        <is>
          <t>Não elegível</t>
        </is>
      </c>
      <c r="O118" s="2" t="inlineStr">
        <is>
          <t>NAO ELEGIVEL COTA  APRENDIZ</t>
        </is>
      </c>
      <c r="P118" s="2" t="inlineStr">
        <is>
          <t>CLT</t>
        </is>
      </c>
      <c r="Q118" s="2" t="inlineStr">
        <is>
          <t>Preponderante</t>
        </is>
      </c>
      <c r="R118" s="2" t="inlineStr">
        <is>
          <t>Saúde</t>
        </is>
      </c>
      <c r="S118" s="2" t="inlineStr">
        <is>
          <t>Gerenciar a equipe referente aos calculos atuariais, analisando erevisando os trabalhos e projetos de natureza atuarial, executados pelaarea.</t>
        </is>
      </c>
      <c r="T118" s="2" t="inlineStr">
        <is>
          <t>IE.33.002.M30</t>
        </is>
      </c>
      <c r="U118" s="2" t="inlineStr">
        <is>
          <t>IE.33.002.M30</t>
        </is>
      </c>
    </row>
    <row r="119">
      <c r="A119" s="2" t="inlineStr">
        <is>
          <t>SAUDE</t>
        </is>
      </c>
      <c r="B119" s="2" t="inlineStr">
        <is>
          <t>SAUDE</t>
        </is>
      </c>
      <c r="C119" s="2" t="n">
        <v>6310290</v>
      </c>
      <c r="D119" s="2" t="inlineStr">
        <is>
          <t>CONSULTOR ATUARIAL</t>
        </is>
      </c>
      <c r="E119" s="2" t="n">
        <v>11</v>
      </c>
      <c r="F119" s="2" t="inlineStr">
        <is>
          <t>ATIVO</t>
        </is>
      </c>
      <c r="G119" s="2" t="inlineStr">
        <is>
          <t>Negócios &amp; operações</t>
        </is>
      </c>
      <c r="H119" s="2" t="inlineStr">
        <is>
          <t>Atuarial, modelagem e dados</t>
        </is>
      </c>
      <c r="I119" s="2" t="inlineStr">
        <is>
          <t>Atuarial</t>
        </is>
      </c>
      <c r="J119" s="2" t="inlineStr">
        <is>
          <t>Especialista</t>
        </is>
      </c>
      <c r="K119" s="2" t="inlineStr">
        <is>
          <t>Consultor</t>
        </is>
      </c>
      <c r="L119" s="2" t="n">
        <v>211105</v>
      </c>
      <c r="M119" s="2" t="inlineStr">
        <is>
          <t>Avaliação de tempos teórica</t>
        </is>
      </c>
      <c r="N119" s="2" t="inlineStr">
        <is>
          <t>Não elegível</t>
        </is>
      </c>
      <c r="O119" s="2" t="inlineStr">
        <is>
          <t>NAO ELEGIVEL COTA  APRENDIZ</t>
        </is>
      </c>
      <c r="P119" s="2" t="inlineStr">
        <is>
          <t>CLT</t>
        </is>
      </c>
      <c r="Q119" s="2" t="inlineStr">
        <is>
          <t>Preponderante</t>
        </is>
      </c>
      <c r="R119" s="2" t="inlineStr">
        <is>
          <t>Saúde</t>
        </is>
      </c>
      <c r="S119" s="2" t="inlineStr">
        <is>
          <t>Apoiar no refinamento dos dados para obtenção das bases adequadas, Garantir a homologação de dados imprescindíveis Saúde, transferidos para o ADAC, Proporcionar manutenção adequada aos motores de cálculos</t>
        </is>
      </c>
      <c r="T119" s="2" t="inlineStr">
        <is>
          <t>IE.33.002.P40</t>
        </is>
      </c>
      <c r="U119" s="2" t="inlineStr">
        <is>
          <t>IE.33.002.P40</t>
        </is>
      </c>
    </row>
    <row r="120">
      <c r="A120" s="2" t="inlineStr">
        <is>
          <t>SAUDE</t>
        </is>
      </c>
      <c r="B120" s="2" t="inlineStr">
        <is>
          <t>SAUDE</t>
        </is>
      </c>
      <c r="C120" s="2" t="n">
        <v>6315403</v>
      </c>
      <c r="D120" s="2" t="inlineStr">
        <is>
          <t>COORDENADOR ATUARIAL</t>
        </is>
      </c>
      <c r="E120" s="2" t="n">
        <v>11</v>
      </c>
      <c r="F120" s="2" t="inlineStr">
        <is>
          <t>ATIVO</t>
        </is>
      </c>
      <c r="G120" s="2" t="inlineStr">
        <is>
          <t>Negócios &amp; operações</t>
        </is>
      </c>
      <c r="H120" s="2" t="inlineStr">
        <is>
          <t>Atuarial, modelagem e dados</t>
        </is>
      </c>
      <c r="I120" s="2" t="inlineStr">
        <is>
          <t>Atuarial</t>
        </is>
      </c>
      <c r="J120" s="2" t="inlineStr">
        <is>
          <t>Coordenador</t>
        </is>
      </c>
      <c r="K120" s="2" t="inlineStr">
        <is>
          <t>Coordenador Matriz</t>
        </is>
      </c>
      <c r="L120" s="2" t="n">
        <v>211105</v>
      </c>
      <c r="M120" s="2" t="inlineStr">
        <is>
          <t>Avaliação de tempos real</t>
        </is>
      </c>
      <c r="N120" s="2" t="inlineStr">
        <is>
          <t>Elegível</t>
        </is>
      </c>
      <c r="O120" s="2" t="inlineStr">
        <is>
          <t>NAO ELEGIVEL COTA  APRENDIZ</t>
        </is>
      </c>
      <c r="P120" s="2" t="inlineStr">
        <is>
          <t>CLT</t>
        </is>
      </c>
      <c r="Q120" s="2" t="inlineStr">
        <is>
          <t>Preponderante</t>
        </is>
      </c>
      <c r="R120" s="2" t="inlineStr">
        <is>
          <t>Saúde</t>
        </is>
      </c>
      <c r="S120" s="2" t="inlineStr">
        <is>
          <t>Apoiar no refinamento dos dados para obtenção das bases adequadas, Garantir a homologação de dados imprescindíveis Saúde, transferidos para o ADAC, Proporcionar manutenção adequada aos motores de cálculos</t>
        </is>
      </c>
      <c r="T120" s="2" t="inlineStr">
        <is>
          <t>IE.33.002.M20</t>
        </is>
      </c>
      <c r="U120" s="2" t="inlineStr">
        <is>
          <t>IE.33.002.M20</t>
        </is>
      </c>
    </row>
    <row r="121">
      <c r="A121" s="2" t="inlineStr">
        <is>
          <t>SAUDE</t>
        </is>
      </c>
      <c r="B121" s="2" t="inlineStr">
        <is>
          <t>SAUDE</t>
        </is>
      </c>
      <c r="C121" s="2" t="n">
        <v>6308817</v>
      </c>
      <c r="D121" s="2" t="inlineStr">
        <is>
          <t>ANALISTA ATUARIAL SR</t>
        </is>
      </c>
      <c r="E121" s="2" t="n">
        <v>10</v>
      </c>
      <c r="F121" s="2" t="inlineStr">
        <is>
          <t>ATIVO</t>
        </is>
      </c>
      <c r="G121" s="2" t="inlineStr">
        <is>
          <t>Negócios &amp; operações</t>
        </is>
      </c>
      <c r="H121" s="2" t="inlineStr">
        <is>
          <t>Atuarial, modelagem e dados</t>
        </is>
      </c>
      <c r="I121" s="2" t="inlineStr">
        <is>
          <t>Atuarial</t>
        </is>
      </c>
      <c r="J121" s="2" t="inlineStr">
        <is>
          <t>Analista</t>
        </is>
      </c>
      <c r="K121" s="2" t="inlineStr">
        <is>
          <t>Analista Sr</t>
        </is>
      </c>
      <c r="L121" s="2" t="n">
        <v>211105</v>
      </c>
      <c r="M121" s="2" t="inlineStr">
        <is>
          <t>Avaliação de tempos real</t>
        </is>
      </c>
      <c r="N121" s="2" t="inlineStr">
        <is>
          <t>Elegível</t>
        </is>
      </c>
      <c r="O121" s="2" t="inlineStr">
        <is>
          <t>NAO ELEGIVEL COTA  APRENDIZ</t>
        </is>
      </c>
      <c r="P121" s="2" t="inlineStr">
        <is>
          <t>CLT</t>
        </is>
      </c>
      <c r="Q121" s="2" t="inlineStr">
        <is>
          <t>Preponderante</t>
        </is>
      </c>
      <c r="R121" s="2" t="inlineStr">
        <is>
          <t>Saúde</t>
        </is>
      </c>
      <c r="S121" s="2" t="inlineStr">
        <is>
          <t>Realizar calculos de maior complexidade relacionados as provisoestecnicas, utilizando metodologias atuariais e estatisticas, para otrabalho de Certificacao das Provisoes Tecnicas, desenvolvimento doFluxo das Provisoes Tecnicas e tambem no calculo de Capital MinimoRegulatorio. Alem disso, tambem desenvolve controles legais atraves derelatorios e auxilia na implementacao de projetos que visem atender asnormas estabelecidas pelos orgaos reguladores.</t>
        </is>
      </c>
      <c r="T121" s="2" t="inlineStr">
        <is>
          <t>IE.33.002.P30</t>
        </is>
      </c>
      <c r="U121" s="2" t="inlineStr">
        <is>
          <t>IE.33.002.P30</t>
        </is>
      </c>
    </row>
    <row r="122">
      <c r="A122" s="2" t="inlineStr">
        <is>
          <t>SAUDE</t>
        </is>
      </c>
      <c r="B122" s="2" t="inlineStr">
        <is>
          <t>SAUDE</t>
        </is>
      </c>
      <c r="C122" s="2" t="n">
        <v>6308816</v>
      </c>
      <c r="D122" s="2" t="inlineStr">
        <is>
          <t>ANALISTA ATUARIAL PL</t>
        </is>
      </c>
      <c r="E122" s="2" t="n">
        <v>8</v>
      </c>
      <c r="F122" s="2" t="inlineStr">
        <is>
          <t>ATIVO</t>
        </is>
      </c>
      <c r="G122" s="2" t="inlineStr">
        <is>
          <t>Negócios &amp; operações</t>
        </is>
      </c>
      <c r="H122" s="2" t="inlineStr">
        <is>
          <t>Atuarial, modelagem e dados</t>
        </is>
      </c>
      <c r="I122" s="2" t="inlineStr">
        <is>
          <t>Atuarial</t>
        </is>
      </c>
      <c r="J122" s="2" t="inlineStr">
        <is>
          <t>Analista</t>
        </is>
      </c>
      <c r="K122" s="2" t="inlineStr">
        <is>
          <t>Analista Pl</t>
        </is>
      </c>
      <c r="L122" s="2" t="n">
        <v>211105</v>
      </c>
      <c r="M122" s="2" t="inlineStr">
        <is>
          <t>Avaliação de tempos real</t>
        </is>
      </c>
      <c r="N122" s="2" t="inlineStr">
        <is>
          <t>Elegível</t>
        </is>
      </c>
      <c r="O122" s="2" t="inlineStr">
        <is>
          <t>NAO ELEGIVEL COTA  APRENDIZ</t>
        </is>
      </c>
      <c r="P122" s="2" t="inlineStr">
        <is>
          <t>CLT</t>
        </is>
      </c>
      <c r="Q122" s="2" t="inlineStr">
        <is>
          <t>Preponderante</t>
        </is>
      </c>
      <c r="R122" s="2" t="inlineStr">
        <is>
          <t>Saúde</t>
        </is>
      </c>
      <c r="S122" s="2" t="inlineStr">
        <is>
          <t>Realizar calculos de media complexidade relacionados as provisoestecnicas, utilizando metodologias atuariais e estatisticas, para otrabalho de Certificacao das Provisoes Tecnicas, desenvolvimento doFluxo das Provisoes Tecnicas e tambem no calculo de Capital MinimoRegulatorio. Alem disso, tambem desenvolve controles legais atraves derelatorios que visem atender as normas estabelecidas pelos orgaosreguladores.</t>
        </is>
      </c>
      <c r="T122" s="2" t="inlineStr">
        <is>
          <t>IE.33.002.P30</t>
        </is>
      </c>
      <c r="U122" s="2" t="inlineStr">
        <is>
          <t>IE.33.002.P30</t>
        </is>
      </c>
    </row>
    <row r="123">
      <c r="A123" s="2" t="inlineStr">
        <is>
          <t>SAUDE</t>
        </is>
      </c>
      <c r="B123" s="2" t="inlineStr">
        <is>
          <t>SAUDE</t>
        </is>
      </c>
      <c r="C123" s="2" t="n">
        <v>6308815</v>
      </c>
      <c r="D123" s="2" t="inlineStr">
        <is>
          <t>ANALISTA ATUARIAL JR</t>
        </is>
      </c>
      <c r="E123" s="2" t="n">
        <v>6</v>
      </c>
      <c r="F123" s="2" t="inlineStr">
        <is>
          <t>ATIVO</t>
        </is>
      </c>
      <c r="G123" s="2" t="inlineStr">
        <is>
          <t>Negócios &amp; operações</t>
        </is>
      </c>
      <c r="H123" s="2" t="inlineStr">
        <is>
          <t>Atuarial, modelagem e dados</t>
        </is>
      </c>
      <c r="I123" s="2" t="inlineStr">
        <is>
          <t>Atuarial</t>
        </is>
      </c>
      <c r="J123" s="2" t="inlineStr">
        <is>
          <t>Analista</t>
        </is>
      </c>
      <c r="K123" s="2" t="inlineStr">
        <is>
          <t>Analista Jr</t>
        </is>
      </c>
      <c r="L123" s="2" t="n">
        <v>211105</v>
      </c>
      <c r="M123" s="2" t="inlineStr">
        <is>
          <t>Avaliação de tempos real</t>
        </is>
      </c>
      <c r="N123" s="2" t="inlineStr">
        <is>
          <t>Elegível</t>
        </is>
      </c>
      <c r="O123" s="2" t="inlineStr">
        <is>
          <t>NAO ELEGIVEL COTA  APRENDIZ</t>
        </is>
      </c>
      <c r="P123" s="2" t="inlineStr">
        <is>
          <t>CLT</t>
        </is>
      </c>
      <c r="Q123" s="2" t="inlineStr">
        <is>
          <t>Preponderante</t>
        </is>
      </c>
      <c r="R123" s="2" t="inlineStr">
        <is>
          <t>Saúde</t>
        </is>
      </c>
      <c r="S123" s="2" t="inlineStr">
        <is>
          <t>Auxiliar os demais atuarios e o gerente da area na realizacao dasatividades, no que se refere manipulacao de base de dados, otimizacao deplanilhas via VBA (Visual Basic For Aplications), execucao de programasno aplicativo SAS e/ou sistemas atuariais (RAFM/MoSes). Suporte napreparacao de relatorios e analise de indicadores atuariais.</t>
        </is>
      </c>
      <c r="T123" s="2" t="inlineStr">
        <is>
          <t>IE.33.002.P20</t>
        </is>
      </c>
      <c r="U123" s="2" t="inlineStr">
        <is>
          <t>IE.33.002.P20</t>
        </is>
      </c>
    </row>
    <row r="124">
      <c r="A124" s="2" t="inlineStr">
        <is>
          <t>SAUDE</t>
        </is>
      </c>
      <c r="B124" s="2" t="inlineStr">
        <is>
          <t>SAUDE</t>
        </is>
      </c>
      <c r="C124" s="2" t="n">
        <v>6310200</v>
      </c>
      <c r="D124" s="2" t="inlineStr">
        <is>
          <t>ANALISTA ASSISTENTE ATUARIAL</t>
        </is>
      </c>
      <c r="E124" s="2" t="n">
        <v>4</v>
      </c>
      <c r="F124" s="2" t="inlineStr">
        <is>
          <t>ATIVO</t>
        </is>
      </c>
      <c r="G124" s="2" t="inlineStr">
        <is>
          <t>Negócios &amp; operações</t>
        </is>
      </c>
      <c r="H124" s="2" t="inlineStr">
        <is>
          <t>Atuarial, modelagem e dados</t>
        </is>
      </c>
      <c r="I124" s="2" t="inlineStr">
        <is>
          <t>Atuarial</t>
        </is>
      </c>
      <c r="J124" s="2" t="inlineStr">
        <is>
          <t>Assistente</t>
        </is>
      </c>
      <c r="K124" s="2" t="inlineStr">
        <is>
          <t>Assistente</t>
        </is>
      </c>
      <c r="L124" s="2" t="n">
        <v>211105</v>
      </c>
      <c r="M124" s="2" t="inlineStr">
        <is>
          <t>Avaliação de tempos real</t>
        </is>
      </c>
      <c r="N124" s="2" t="inlineStr">
        <is>
          <t>Elegível</t>
        </is>
      </c>
      <c r="O124" s="2" t="inlineStr">
        <is>
          <t>NAO ELEGIVEL COTA  APRENDIZ</t>
        </is>
      </c>
      <c r="P124" s="2" t="inlineStr">
        <is>
          <t>CLT</t>
        </is>
      </c>
      <c r="Q124" s="2" t="inlineStr">
        <is>
          <t>Preponderante</t>
        </is>
      </c>
      <c r="R124" s="2" t="inlineStr">
        <is>
          <t>Saúde</t>
        </is>
      </c>
      <c r="S124" s="2" t="inlineStr">
        <is>
          <t>Realizar calculos de maior complexidade relacionados as provisoestecnicas, utilizando metodologias atuariais e estatisticas, para otrabalho de Certificacao das Provisoes Tecnicas, desenvolvimento doFluxo das Provisoes Tecnicas e tambem no calculo de Capital MinimoRegulatorio. Alem disso, tambem desenvolve controles legais atraves derelatorios e auxilia na implementacao de projetos que visem atender asnormas estabelecidas pelos orgaos reguladores.</t>
        </is>
      </c>
      <c r="T124" s="2" t="inlineStr">
        <is>
          <t>IE.26.002.S20</t>
        </is>
      </c>
      <c r="U124" s="2" t="inlineStr">
        <is>
          <t>IE.26.002.S20</t>
        </is>
      </c>
    </row>
    <row r="125">
      <c r="A125" s="2" t="inlineStr">
        <is>
          <t>SAUDE OPERADORA</t>
        </is>
      </c>
      <c r="B125" s="2" t="inlineStr">
        <is>
          <t>APOR</t>
        </is>
      </c>
      <c r="C125" s="2" t="n">
        <v>411276</v>
      </c>
      <c r="D125" s="2" t="inlineStr">
        <is>
          <t>ESPECIALISTA ATUARIAL</t>
        </is>
      </c>
      <c r="E125" s="2" t="n">
        <v>12</v>
      </c>
      <c r="F125" s="2" t="inlineStr">
        <is>
          <t>ATIVO</t>
        </is>
      </c>
      <c r="G125" s="2" t="inlineStr">
        <is>
          <t>Negócios &amp; operações</t>
        </is>
      </c>
      <c r="H125" s="2" t="inlineStr">
        <is>
          <t>Atuarial, modelagem e dados</t>
        </is>
      </c>
      <c r="I125" s="2" t="inlineStr">
        <is>
          <t>Atuarial</t>
        </is>
      </c>
      <c r="J125" s="2" t="inlineStr">
        <is>
          <t>GA</t>
        </is>
      </c>
      <c r="K125" s="2" t="inlineStr">
        <is>
          <t>Especialista</t>
        </is>
      </c>
      <c r="L125" s="2" t="n">
        <v>211105</v>
      </c>
      <c r="M125" s="2" t="inlineStr">
        <is>
          <t>Avaliação de tempos teórica</t>
        </is>
      </c>
      <c r="N125" s="2" t="inlineStr">
        <is>
          <t>Não elegível</t>
        </is>
      </c>
      <c r="O125" s="2" t="inlineStr">
        <is>
          <t>NAO ELEGIVEL COTA  APRENDIZ</t>
        </is>
      </c>
      <c r="P125" s="2" t="inlineStr">
        <is>
          <t>CLT</t>
        </is>
      </c>
      <c r="Q125" s="2" t="inlineStr">
        <is>
          <t>Preponderante</t>
        </is>
      </c>
      <c r="R125" s="2" t="inlineStr">
        <is>
          <t>Saúde</t>
        </is>
      </c>
      <c r="S125" s="2" t="inlineStr">
        <is>
          <t>Responsavel por desenvolver o refinamento dos dados para obtenção das bases adequadas, Garantir a homologação de dados imprescindíveis Saúde, transferidos para o ADAC, Proporcionar manutenção adequada aos motores de cálculos</t>
        </is>
      </c>
      <c r="T125" s="2" t="inlineStr">
        <is>
          <t>IE.33.002.M30</t>
        </is>
      </c>
      <c r="U125" s="2" t="inlineStr">
        <is>
          <t>IE.33.002.M30</t>
        </is>
      </c>
    </row>
    <row r="126">
      <c r="A126" s="2" t="inlineStr">
        <is>
          <t>SAUDE OPERADORA</t>
        </is>
      </c>
      <c r="B126" s="2" t="inlineStr">
        <is>
          <t>APOR</t>
        </is>
      </c>
      <c r="C126" s="2" t="n">
        <v>410290</v>
      </c>
      <c r="D126" s="2" t="inlineStr">
        <is>
          <t>CONSULTOR ATUARIAL</t>
        </is>
      </c>
      <c r="E126" s="2" t="n">
        <v>11</v>
      </c>
      <c r="F126" s="2" t="inlineStr">
        <is>
          <t>ATIVO</t>
        </is>
      </c>
      <c r="G126" s="2" t="inlineStr">
        <is>
          <t>Negócios &amp; operações</t>
        </is>
      </c>
      <c r="H126" s="2" t="inlineStr">
        <is>
          <t>Atuarial, modelagem e dados</t>
        </is>
      </c>
      <c r="I126" s="2" t="inlineStr">
        <is>
          <t>Atuarial</t>
        </is>
      </c>
      <c r="J126" s="2" t="inlineStr">
        <is>
          <t>Especialista</t>
        </is>
      </c>
      <c r="K126" s="2" t="inlineStr">
        <is>
          <t>Consultor</t>
        </is>
      </c>
      <c r="L126" s="2" t="n">
        <v>211105</v>
      </c>
      <c r="M126" s="2" t="inlineStr">
        <is>
          <t>Avaliação de tempos teórica</t>
        </is>
      </c>
      <c r="N126" s="2" t="inlineStr">
        <is>
          <t>Não elegível</t>
        </is>
      </c>
      <c r="O126" s="2" t="inlineStr">
        <is>
          <t>NAO ELEGIVEL COTA  APRENDIZ</t>
        </is>
      </c>
      <c r="P126" s="2" t="inlineStr">
        <is>
          <t>CLT</t>
        </is>
      </c>
      <c r="Q126" s="2" t="inlineStr">
        <is>
          <t>Preponderante</t>
        </is>
      </c>
      <c r="R126" s="2" t="inlineStr">
        <is>
          <t>Saúde</t>
        </is>
      </c>
      <c r="S126" s="2" t="inlineStr">
        <is>
          <t>Apoiar no refinamento dos dados para obtenção das bases adequadas, Garantir a homologação de dados imprescindíveis Saúde, transferidos para o ADAC, Proporcionar manutenção adequada aos motores de cálculos</t>
        </is>
      </c>
      <c r="T126" s="2" t="inlineStr">
        <is>
          <t>IE.33.002.P40</t>
        </is>
      </c>
      <c r="U126" s="2" t="inlineStr">
        <is>
          <t>IE.33.002.P40</t>
        </is>
      </c>
    </row>
    <row r="127">
      <c r="A127" s="2" t="inlineStr">
        <is>
          <t>AFFINITY</t>
        </is>
      </c>
      <c r="B127" s="2" t="inlineStr">
        <is>
          <t>BSP AFFINITY</t>
        </is>
      </c>
      <c r="C127" s="2" t="n">
        <v>10011162</v>
      </c>
      <c r="D127" s="2" t="inlineStr">
        <is>
          <t>ANALISTA ASSISTENTE CIENCIAS DADOS</t>
        </is>
      </c>
      <c r="E127" s="2" t="n">
        <v>4</v>
      </c>
      <c r="F127" s="2" t="inlineStr">
        <is>
          <t>ATIVO</t>
        </is>
      </c>
      <c r="G127" s="2" t="inlineStr">
        <is>
          <t>Negócios &amp; operações</t>
        </is>
      </c>
      <c r="H127" s="2" t="inlineStr">
        <is>
          <t>Atuarial, modelagem e dados</t>
        </is>
      </c>
      <c r="I127" s="2" t="inlineStr">
        <is>
          <t>Ciência de Dados</t>
        </is>
      </c>
      <c r="J127" s="2" t="inlineStr">
        <is>
          <t>Assistente</t>
        </is>
      </c>
      <c r="K127" s="2" t="inlineStr">
        <is>
          <t>Assistente</t>
        </is>
      </c>
      <c r="L127" s="2" t="n">
        <v>211120</v>
      </c>
      <c r="M127" s="2" t="inlineStr">
        <is>
          <t>Avaliação de tempos real</t>
        </is>
      </c>
      <c r="N127" s="2" t="inlineStr">
        <is>
          <t>Elegível</t>
        </is>
      </c>
      <c r="O127" s="2" t="inlineStr">
        <is>
          <t>NAO ELEGIVEL COTA  APRENDIZ</t>
        </is>
      </c>
      <c r="P127" s="2" t="inlineStr">
        <is>
          <t>CLT</t>
        </is>
      </c>
      <c r="Q127" s="2" t="inlineStr">
        <is>
          <t>Preponderante</t>
        </is>
      </c>
      <c r="R127" s="2" t="inlineStr">
        <is>
          <t>Affinity</t>
        </is>
      </c>
      <c r="S127"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27" s="2" t="inlineStr">
        <is>
          <t>TI.01.004.S20</t>
        </is>
      </c>
      <c r="U127" s="2" t="inlineStr">
        <is>
          <t>TI.01.004.S20</t>
        </is>
      </c>
    </row>
    <row r="128">
      <c r="A128" s="2" t="inlineStr">
        <is>
          <t>BARE</t>
        </is>
      </c>
      <c r="B128" s="2" t="inlineStr">
        <is>
          <t>AUTO RE SEG</t>
        </is>
      </c>
      <c r="C128" s="2" t="n">
        <v>7511162</v>
      </c>
      <c r="D128" s="2" t="inlineStr">
        <is>
          <t>ANALISTA ASSISTENTE CIENCIAS DADOS</t>
        </is>
      </c>
      <c r="E128" s="2" t="n">
        <v>4</v>
      </c>
      <c r="F128" s="2" t="inlineStr">
        <is>
          <t>ATIVO</t>
        </is>
      </c>
      <c r="G128" s="2" t="inlineStr">
        <is>
          <t>Negócios &amp; operações</t>
        </is>
      </c>
      <c r="H128" s="2" t="inlineStr">
        <is>
          <t>Atuarial, modelagem e dados</t>
        </is>
      </c>
      <c r="I128" s="2" t="inlineStr">
        <is>
          <t>Ciência de Dados</t>
        </is>
      </c>
      <c r="J128" s="2" t="inlineStr">
        <is>
          <t>Assistente</t>
        </is>
      </c>
      <c r="K128" s="2" t="inlineStr">
        <is>
          <t>Assistente</t>
        </is>
      </c>
      <c r="L128" s="2" t="n">
        <v>211120</v>
      </c>
      <c r="M128" s="2" t="inlineStr">
        <is>
          <t>Avaliação de tempos real</t>
        </is>
      </c>
      <c r="N128" s="2" t="inlineStr">
        <is>
          <t>Elegível</t>
        </is>
      </c>
      <c r="O128" s="2" t="inlineStr">
        <is>
          <t>NAO ELEGIVEL COTA  APRENDIZ</t>
        </is>
      </c>
      <c r="P128" s="2" t="inlineStr">
        <is>
          <t>CLT</t>
        </is>
      </c>
      <c r="Q128" s="2" t="inlineStr">
        <is>
          <t>Preponderante</t>
        </is>
      </c>
      <c r="R128" s="2" t="inlineStr">
        <is>
          <t>Elementares</t>
        </is>
      </c>
      <c r="S128"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28" s="2" t="inlineStr">
        <is>
          <t>TI.01.004.S20</t>
        </is>
      </c>
      <c r="U128" s="2" t="inlineStr">
        <is>
          <t>TI.01.004.S20</t>
        </is>
      </c>
    </row>
    <row r="129">
      <c r="A129" s="2" t="inlineStr">
        <is>
          <t>BSP</t>
        </is>
      </c>
      <c r="B129" s="2" t="inlineStr">
        <is>
          <t>IMOBILIARIA</t>
        </is>
      </c>
      <c r="C129" s="2" t="n">
        <v>10611162</v>
      </c>
      <c r="D129" s="2" t="inlineStr">
        <is>
          <t>ANALISTA ASSISTENTE CIENCIAS DADOS</t>
        </is>
      </c>
      <c r="E129" s="2" t="n">
        <v>4</v>
      </c>
      <c r="F129" s="2" t="inlineStr">
        <is>
          <t>ATIVO</t>
        </is>
      </c>
      <c r="G129" s="2" t="inlineStr">
        <is>
          <t>Negócios &amp; operações</t>
        </is>
      </c>
      <c r="H129" s="2" t="inlineStr">
        <is>
          <t>Atuarial, modelagem e dados</t>
        </is>
      </c>
      <c r="I129" s="2" t="inlineStr">
        <is>
          <t>Ciência de Dados</t>
        </is>
      </c>
      <c r="J129" s="2" t="inlineStr">
        <is>
          <t>Assistente</t>
        </is>
      </c>
      <c r="K129" s="2" t="inlineStr">
        <is>
          <t>Assistente</t>
        </is>
      </c>
      <c r="L129" s="2" t="n">
        <v>211120</v>
      </c>
      <c r="M129" s="2" t="inlineStr">
        <is>
          <t>Avaliação de tempos real</t>
        </is>
      </c>
      <c r="N129" s="2" t="inlineStr">
        <is>
          <t>Elegível</t>
        </is>
      </c>
      <c r="O129" s="2" t="inlineStr">
        <is>
          <t>NAO ELEGIVEL COTA  APRENDIZ</t>
        </is>
      </c>
      <c r="P129" s="2" t="inlineStr">
        <is>
          <t>CLT</t>
        </is>
      </c>
      <c r="Q129" s="2" t="inlineStr">
        <is>
          <t>Preponderante</t>
        </is>
      </c>
      <c r="R129" s="2" t="inlineStr">
        <is>
          <t>Empreendimentos</t>
        </is>
      </c>
      <c r="S129"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29" s="2" t="inlineStr">
        <is>
          <t>TI.01.004.S20</t>
        </is>
      </c>
      <c r="U129" s="2" t="inlineStr">
        <is>
          <t>TI.01.004.S20</t>
        </is>
      </c>
    </row>
    <row r="130">
      <c r="A130" s="2" t="inlineStr">
        <is>
          <t>BVP</t>
        </is>
      </c>
      <c r="B130" s="2" t="inlineStr">
        <is>
          <t>PREVIDENCIA</t>
        </is>
      </c>
      <c r="C130" s="2" t="n">
        <v>3411162</v>
      </c>
      <c r="D130" s="2" t="inlineStr">
        <is>
          <t>ANALISTA ASSISTENTE CIENCIAS DADOS</t>
        </is>
      </c>
      <c r="E130" s="2" t="n">
        <v>4</v>
      </c>
      <c r="F130" s="2" t="inlineStr">
        <is>
          <t>ATIVO</t>
        </is>
      </c>
      <c r="G130" s="2" t="inlineStr">
        <is>
          <t>Negócios &amp; operações</t>
        </is>
      </c>
      <c r="H130" s="2" t="inlineStr">
        <is>
          <t>Atuarial, modelagem e dados</t>
        </is>
      </c>
      <c r="I130" s="2" t="inlineStr">
        <is>
          <t>Ciência de Dados</t>
        </is>
      </c>
      <c r="J130" s="2" t="inlineStr">
        <is>
          <t>Assistente</t>
        </is>
      </c>
      <c r="K130" s="2" t="inlineStr">
        <is>
          <t>Assistente</t>
        </is>
      </c>
      <c r="L130" s="2" t="n">
        <v>211120</v>
      </c>
      <c r="M130" s="2" t="inlineStr">
        <is>
          <t>Avaliação de tempos real</t>
        </is>
      </c>
      <c r="N130" s="2" t="inlineStr">
        <is>
          <t>Elegível</t>
        </is>
      </c>
      <c r="O130" s="2" t="inlineStr">
        <is>
          <t>NAO ELEGIVEL COTA  APRENDIZ</t>
        </is>
      </c>
      <c r="P130" s="2" t="inlineStr">
        <is>
          <t>CLT</t>
        </is>
      </c>
      <c r="Q130" s="2" t="inlineStr">
        <is>
          <t>Preponderante</t>
        </is>
      </c>
      <c r="R130" s="2" t="inlineStr">
        <is>
          <t>Vida e Previdência</t>
        </is>
      </c>
      <c r="S130"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0" s="2" t="inlineStr">
        <is>
          <t>TI.01.004.S20</t>
        </is>
      </c>
      <c r="U130" s="2" t="inlineStr">
        <is>
          <t>TI.01.004.S20</t>
        </is>
      </c>
    </row>
    <row r="131">
      <c r="A131" s="2" t="inlineStr">
        <is>
          <t>CAP</t>
        </is>
      </c>
      <c r="B131" s="2" t="inlineStr">
        <is>
          <t>CAPITALIZ</t>
        </is>
      </c>
      <c r="C131" s="2" t="n">
        <v>7311162</v>
      </c>
      <c r="D131" s="2" t="inlineStr">
        <is>
          <t>ANALISTA ASSISTENTE CIENCIAS DADOS</t>
        </is>
      </c>
      <c r="E131" s="2" t="n">
        <v>4</v>
      </c>
      <c r="F131" s="2" t="inlineStr">
        <is>
          <t>ATIVO</t>
        </is>
      </c>
      <c r="G131" s="2" t="inlineStr">
        <is>
          <t>Negócios &amp; operações</t>
        </is>
      </c>
      <c r="H131" s="2" t="inlineStr">
        <is>
          <t>Atuarial, modelagem e dados</t>
        </is>
      </c>
      <c r="I131" s="2" t="inlineStr">
        <is>
          <t>Ciência de Dados</t>
        </is>
      </c>
      <c r="J131" s="2" t="inlineStr">
        <is>
          <t>Assistente</t>
        </is>
      </c>
      <c r="K131" s="2" t="inlineStr">
        <is>
          <t>Assistente</t>
        </is>
      </c>
      <c r="L131" s="2" t="n">
        <v>211120</v>
      </c>
      <c r="M131" s="2" t="inlineStr">
        <is>
          <t>Avaliação de tempos real</t>
        </is>
      </c>
      <c r="N131" s="2" t="inlineStr">
        <is>
          <t>Elegível</t>
        </is>
      </c>
      <c r="O131" s="2" t="inlineStr">
        <is>
          <t>NAO ELEGIVEL COTA  APRENDIZ</t>
        </is>
      </c>
      <c r="P131" s="2" t="inlineStr">
        <is>
          <t>CLT</t>
        </is>
      </c>
      <c r="Q131" s="2" t="inlineStr">
        <is>
          <t>Preponderante</t>
        </is>
      </c>
      <c r="R131" s="2" t="inlineStr">
        <is>
          <t>Vida e Previdência</t>
        </is>
      </c>
      <c r="S131"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1" s="2" t="inlineStr">
        <is>
          <t>TI.01.004.S20</t>
        </is>
      </c>
      <c r="U131" s="2" t="inlineStr">
        <is>
          <t>TI.01.004.S20</t>
        </is>
      </c>
    </row>
    <row r="132">
      <c r="A132" s="2" t="inlineStr">
        <is>
          <t>HOLDING</t>
        </is>
      </c>
      <c r="B132" s="2" t="inlineStr">
        <is>
          <t>HOLDING</t>
        </is>
      </c>
      <c r="C132" s="2" t="n">
        <v>6111162</v>
      </c>
      <c r="D132" s="2" t="inlineStr">
        <is>
          <t>ANALISTA ASSISTENTE CIENCIAS DADOS</t>
        </is>
      </c>
      <c r="E132" s="2" t="n">
        <v>4</v>
      </c>
      <c r="F132" s="2" t="inlineStr">
        <is>
          <t>ATIVO</t>
        </is>
      </c>
      <c r="G132" s="2" t="inlineStr">
        <is>
          <t>Negócios &amp; operações</t>
        </is>
      </c>
      <c r="H132" s="2" t="inlineStr">
        <is>
          <t>Atuarial, modelagem e dados</t>
        </is>
      </c>
      <c r="I132" s="2" t="inlineStr">
        <is>
          <t>Ciência de Dados</t>
        </is>
      </c>
      <c r="J132" s="2" t="inlineStr">
        <is>
          <t>Assistente</t>
        </is>
      </c>
      <c r="K132" s="2" t="inlineStr">
        <is>
          <t>Assistente</t>
        </is>
      </c>
      <c r="L132" s="2" t="n">
        <v>211120</v>
      </c>
      <c r="M132" s="2" t="inlineStr">
        <is>
          <t>Avaliação de tempos real</t>
        </is>
      </c>
      <c r="N132" s="2" t="inlineStr">
        <is>
          <t>Elegível</t>
        </is>
      </c>
      <c r="O132" s="2" t="inlineStr">
        <is>
          <t>NAO ELEGIVEL COTA  APRENDIZ</t>
        </is>
      </c>
      <c r="P132" s="2" t="inlineStr">
        <is>
          <t>CLT</t>
        </is>
      </c>
      <c r="Q132" s="2" t="inlineStr">
        <is>
          <t>Preponderante</t>
        </is>
      </c>
      <c r="R132" s="2" t="inlineStr">
        <is>
          <t>Elementares</t>
        </is>
      </c>
      <c r="S132"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2" s="2" t="inlineStr">
        <is>
          <t>TI.01.004.S20</t>
        </is>
      </c>
      <c r="U132" s="2" t="inlineStr">
        <is>
          <t>TI.01.004.S20</t>
        </is>
      </c>
    </row>
    <row r="133">
      <c r="A133" s="2" t="inlineStr">
        <is>
          <t>NOVAMED</t>
        </is>
      </c>
      <c r="B133" s="2" t="inlineStr">
        <is>
          <t>NOVAMED</t>
        </is>
      </c>
      <c r="C133" s="2" t="n">
        <v>11611162</v>
      </c>
      <c r="D133" s="2" t="inlineStr">
        <is>
          <t>ANALISTA ASSISTENTE CIENCIAS DADOS</t>
        </is>
      </c>
      <c r="E133" s="2" t="n">
        <v>4</v>
      </c>
      <c r="F133" s="2" t="inlineStr">
        <is>
          <t>ATIVO</t>
        </is>
      </c>
      <c r="G133" s="2" t="inlineStr">
        <is>
          <t>Negócios &amp; operações</t>
        </is>
      </c>
      <c r="H133" s="2" t="inlineStr">
        <is>
          <t>Atuarial, modelagem e dados</t>
        </is>
      </c>
      <c r="I133" s="2" t="inlineStr">
        <is>
          <t>Ciência de Dados</t>
        </is>
      </c>
      <c r="J133" s="2" t="inlineStr">
        <is>
          <t>Assistente</t>
        </is>
      </c>
      <c r="K133" s="2" t="inlineStr">
        <is>
          <t>Assistente</t>
        </is>
      </c>
      <c r="L133" s="2" t="n">
        <v>211120</v>
      </c>
      <c r="M133" s="2" t="inlineStr">
        <is>
          <t>Avaliação de tempos real</t>
        </is>
      </c>
      <c r="N133" s="2" t="inlineStr">
        <is>
          <t>Elegível</t>
        </is>
      </c>
      <c r="O133" s="2" t="inlineStr">
        <is>
          <t>NAO ELEGIVEL COTA  APRENDIZ</t>
        </is>
      </c>
      <c r="P133" s="2" t="inlineStr">
        <is>
          <t>CLT</t>
        </is>
      </c>
      <c r="Q133" s="2" t="inlineStr">
        <is>
          <t>Preponderante</t>
        </is>
      </c>
      <c r="R133" s="2" t="inlineStr">
        <is>
          <t>Saúde</t>
        </is>
      </c>
      <c r="S133"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3" s="2" t="inlineStr">
        <is>
          <t>TI.01.004.S20</t>
        </is>
      </c>
      <c r="U133" s="2" t="inlineStr">
        <is>
          <t>TI.01.004.S20</t>
        </is>
      </c>
    </row>
    <row r="134">
      <c r="A134" s="2" t="inlineStr">
        <is>
          <t>SAUDE</t>
        </is>
      </c>
      <c r="B134" s="2" t="inlineStr">
        <is>
          <t>SAUDE</t>
        </is>
      </c>
      <c r="C134" s="2" t="n">
        <v>6311162</v>
      </c>
      <c r="D134" s="2" t="inlineStr">
        <is>
          <t>ANALISTA ASSISTENTE CIENCIAS DADOS</t>
        </is>
      </c>
      <c r="E134" s="2" t="n">
        <v>4</v>
      </c>
      <c r="F134" s="2" t="inlineStr">
        <is>
          <t>ATIVO</t>
        </is>
      </c>
      <c r="G134" s="2" t="inlineStr">
        <is>
          <t>Negócios &amp; operações</t>
        </is>
      </c>
      <c r="H134" s="2" t="inlineStr">
        <is>
          <t>Atuarial, modelagem e dados</t>
        </is>
      </c>
      <c r="I134" s="2" t="inlineStr">
        <is>
          <t>Ciência de Dados</t>
        </is>
      </c>
      <c r="J134" s="2" t="inlineStr">
        <is>
          <t>Assistente</t>
        </is>
      </c>
      <c r="K134" s="2" t="inlineStr">
        <is>
          <t>Assistente</t>
        </is>
      </c>
      <c r="L134" s="2" t="n">
        <v>211120</v>
      </c>
      <c r="M134" s="2" t="inlineStr">
        <is>
          <t>Avaliação de tempos real</t>
        </is>
      </c>
      <c r="N134" s="2" t="inlineStr">
        <is>
          <t>Elegível</t>
        </is>
      </c>
      <c r="O134" s="2" t="inlineStr">
        <is>
          <t>NAO ELEGIVEL COTA  APRENDIZ</t>
        </is>
      </c>
      <c r="P134" s="2" t="inlineStr">
        <is>
          <t>CLT</t>
        </is>
      </c>
      <c r="Q134" s="2" t="inlineStr">
        <is>
          <t>Preponderante</t>
        </is>
      </c>
      <c r="R134" s="2" t="inlineStr">
        <is>
          <t>Saúde</t>
        </is>
      </c>
      <c r="S134"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34" s="2" t="inlineStr">
        <is>
          <t>TI.01.004.S20</t>
        </is>
      </c>
      <c r="U134" s="2" t="inlineStr">
        <is>
          <t>TI.01.004.S20</t>
        </is>
      </c>
    </row>
    <row r="135">
      <c r="A135" s="2" t="inlineStr">
        <is>
          <t>SAUDE OPERADORA</t>
        </is>
      </c>
      <c r="B135" s="2" t="inlineStr">
        <is>
          <t>APOR</t>
        </is>
      </c>
      <c r="C135" s="2" t="n">
        <v>411162</v>
      </c>
      <c r="D135" s="2" t="inlineStr">
        <is>
          <t>ANALISTA ASSISTENTE CIENCIAS DADOS</t>
        </is>
      </c>
      <c r="E135" s="2" t="n">
        <v>4</v>
      </c>
      <c r="F135" s="2" t="inlineStr">
        <is>
          <t>ATIVO</t>
        </is>
      </c>
      <c r="G135" s="2" t="inlineStr">
        <is>
          <t>Negócios &amp; operações</t>
        </is>
      </c>
      <c r="H135" s="2" t="inlineStr">
        <is>
          <t>Atuarial, modelagem e dados</t>
        </is>
      </c>
      <c r="I135" s="2" t="inlineStr">
        <is>
          <t>Ciência de Dados</t>
        </is>
      </c>
      <c r="J135" s="2" t="inlineStr">
        <is>
          <t>Assistente</t>
        </is>
      </c>
      <c r="K135" s="2" t="inlineStr">
        <is>
          <t>Assistente</t>
        </is>
      </c>
      <c r="L135" s="2" t="n">
        <v>211120</v>
      </c>
      <c r="M135" s="2" t="inlineStr">
        <is>
          <t>Avaliação de tempos real</t>
        </is>
      </c>
      <c r="N135" s="2" t="inlineStr">
        <is>
          <t>Elegível</t>
        </is>
      </c>
      <c r="O135" s="2" t="inlineStr">
        <is>
          <t>NAO ELEGIVEL COTA  APRENDIZ</t>
        </is>
      </c>
      <c r="P135" s="2" t="inlineStr">
        <is>
          <t>CLT</t>
        </is>
      </c>
      <c r="Q135" s="2" t="inlineStr">
        <is>
          <t>Preponderante</t>
        </is>
      </c>
      <c r="R135" s="2" t="inlineStr">
        <is>
          <t>Saúde</t>
        </is>
      </c>
      <c r="S135"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5" s="2" t="inlineStr">
        <is>
          <t>TI.01.004.S20</t>
        </is>
      </c>
      <c r="U135" s="2" t="inlineStr">
        <is>
          <t>TI.01.004.S20</t>
        </is>
      </c>
    </row>
    <row r="136">
      <c r="A136" s="2" t="inlineStr">
        <is>
          <t>HOLDING</t>
        </is>
      </c>
      <c r="B136" s="2" t="inlineStr">
        <is>
          <t>HOLDING</t>
        </is>
      </c>
      <c r="C136" s="2" t="n">
        <v>6111337</v>
      </c>
      <c r="D136" s="2" t="inlineStr">
        <is>
          <t>ANALISTA ASSISTENTE PRIVACIDADE DADOS</t>
        </is>
      </c>
      <c r="E136" s="2" t="n">
        <v>4</v>
      </c>
      <c r="F136" s="2" t="inlineStr">
        <is>
          <t>ATIVO</t>
        </is>
      </c>
      <c r="G136" s="2" t="inlineStr">
        <is>
          <t>Corporativo</t>
        </is>
      </c>
      <c r="H136" s="2" t="inlineStr">
        <is>
          <t>Privacidade de dados</t>
        </is>
      </c>
      <c r="I136" s="2" t="inlineStr">
        <is>
          <t>Privacidade de dados</t>
        </is>
      </c>
      <c r="J136" s="2" t="inlineStr">
        <is>
          <t>Assistente</t>
        </is>
      </c>
      <c r="K136" s="2" t="inlineStr">
        <is>
          <t>Assistente</t>
        </is>
      </c>
      <c r="L136" s="2" t="n">
        <v>142130</v>
      </c>
      <c r="M136" s="2" t="inlineStr">
        <is>
          <t>Avaliação de tempos real</t>
        </is>
      </c>
      <c r="N136" s="2" t="inlineStr">
        <is>
          <t>Elegível</t>
        </is>
      </c>
      <c r="O136" s="2" t="inlineStr">
        <is>
          <t>NAO ELEGIVEL COTA  APRENDIZ</t>
        </is>
      </c>
      <c r="P136" s="2" t="inlineStr">
        <is>
          <t>CLT</t>
        </is>
      </c>
      <c r="Q136" s="2" t="inlineStr">
        <is>
          <t>Preponderante</t>
        </is>
      </c>
      <c r="R136" s="2" t="inlineStr">
        <is>
          <t>Elementares</t>
        </is>
      </c>
      <c r="S136" s="2" t="inlineStr">
        <is>
          <t>Apoiar na elaboração de pareceres de contratos sob a ótica de Privacidade de dados, apoiar a equipe no desenvolvimento de normas, manuais, guias, cartilhas e conteudo de treinamento para governança e gestão de privacidade de dados pessoais do GBS</t>
        </is>
      </c>
      <c r="T136" s="2" t="inlineStr">
        <is>
          <t>IE.26.002.S20</t>
        </is>
      </c>
      <c r="U136" s="2" t="inlineStr">
        <is>
          <t>IE.26.002.S20</t>
        </is>
      </c>
    </row>
    <row r="137">
      <c r="A137" s="2" t="inlineStr">
        <is>
          <t>AFFINITY</t>
        </is>
      </c>
      <c r="B137" s="2" t="inlineStr">
        <is>
          <t>BSP AFFINITY</t>
        </is>
      </c>
      <c r="C137" s="2" t="n">
        <v>10009969</v>
      </c>
      <c r="D137" s="2" t="inlineStr">
        <is>
          <t>ANALISTA CIENCIAS DADOS JR</t>
        </is>
      </c>
      <c r="E137" s="2" t="n">
        <v>6</v>
      </c>
      <c r="F137" s="2" t="inlineStr">
        <is>
          <t>ATIVO</t>
        </is>
      </c>
      <c r="G137" s="2" t="inlineStr">
        <is>
          <t>Negócios &amp; operações</t>
        </is>
      </c>
      <c r="H137" s="2" t="inlineStr">
        <is>
          <t>Atuarial, modelagem e dados</t>
        </is>
      </c>
      <c r="I137" s="2" t="inlineStr">
        <is>
          <t>Ciência de Dados</t>
        </is>
      </c>
      <c r="J137" s="2" t="inlineStr">
        <is>
          <t>Analista</t>
        </is>
      </c>
      <c r="K137" s="2" t="inlineStr">
        <is>
          <t>Analista Jr</t>
        </is>
      </c>
      <c r="L137" s="2" t="n">
        <v>211120</v>
      </c>
      <c r="M137" s="2" t="inlineStr">
        <is>
          <t>Avaliação de tempos real</t>
        </is>
      </c>
      <c r="N137" s="2" t="inlineStr">
        <is>
          <t>Elegível</t>
        </is>
      </c>
      <c r="O137" s="2" t="inlineStr">
        <is>
          <t>NAO ELEGIVEL COTA  APRENDIZ</t>
        </is>
      </c>
      <c r="P137" s="2" t="inlineStr">
        <is>
          <t>CLT</t>
        </is>
      </c>
      <c r="Q137" s="2" t="inlineStr">
        <is>
          <t>Preponderante</t>
        </is>
      </c>
      <c r="R137" s="2" t="inlineStr">
        <is>
          <t>Affinity</t>
        </is>
      </c>
      <c r="S137"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7" s="2" t="inlineStr">
        <is>
          <t>IE.07.003.P10</t>
        </is>
      </c>
      <c r="U137" s="2" t="inlineStr">
        <is>
          <t>IE.07.003.P10</t>
        </is>
      </c>
    </row>
    <row r="138">
      <c r="A138" s="2" t="inlineStr">
        <is>
          <t>BARE</t>
        </is>
      </c>
      <c r="B138" s="2" t="inlineStr">
        <is>
          <t>AUTO RE SEG</t>
        </is>
      </c>
      <c r="C138" s="2" t="n">
        <v>7509969</v>
      </c>
      <c r="D138" s="2" t="inlineStr">
        <is>
          <t>ANALISTA CIENCIAS DADOS JR</t>
        </is>
      </c>
      <c r="E138" s="2" t="n">
        <v>6</v>
      </c>
      <c r="F138" s="2" t="inlineStr">
        <is>
          <t>ATIVO</t>
        </is>
      </c>
      <c r="G138" s="2" t="inlineStr">
        <is>
          <t>Negócios &amp; operações</t>
        </is>
      </c>
      <c r="H138" s="2" t="inlineStr">
        <is>
          <t>Atuarial, modelagem e dados</t>
        </is>
      </c>
      <c r="I138" s="2" t="inlineStr">
        <is>
          <t>Ciência de Dados</t>
        </is>
      </c>
      <c r="J138" s="2" t="inlineStr">
        <is>
          <t>Analista</t>
        </is>
      </c>
      <c r="K138" s="2" t="inlineStr">
        <is>
          <t>Analista Jr</t>
        </is>
      </c>
      <c r="L138" s="2" t="n">
        <v>211120</v>
      </c>
      <c r="M138" s="2" t="inlineStr">
        <is>
          <t>Avaliação de tempos real</t>
        </is>
      </c>
      <c r="N138" s="2" t="inlineStr">
        <is>
          <t>Elegível</t>
        </is>
      </c>
      <c r="O138" s="2" t="inlineStr">
        <is>
          <t>NAO ELEGIVEL COTA  APRENDIZ</t>
        </is>
      </c>
      <c r="P138" s="2" t="inlineStr">
        <is>
          <t>CLT</t>
        </is>
      </c>
      <c r="Q138" s="2" t="inlineStr">
        <is>
          <t>Preponderante</t>
        </is>
      </c>
      <c r="R138" s="2" t="inlineStr">
        <is>
          <t>Elementares</t>
        </is>
      </c>
      <c r="S138"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38" s="2" t="inlineStr">
        <is>
          <t>IE.07.003.P10</t>
        </is>
      </c>
      <c r="U138" s="2" t="inlineStr">
        <is>
          <t>IE.07.003.P10</t>
        </is>
      </c>
    </row>
    <row r="139">
      <c r="A139" s="2" t="inlineStr">
        <is>
          <t>BSP</t>
        </is>
      </c>
      <c r="B139" s="2" t="inlineStr">
        <is>
          <t>IMOBILIARIA</t>
        </is>
      </c>
      <c r="C139" s="2" t="n">
        <v>10609969</v>
      </c>
      <c r="D139" s="2" t="inlineStr">
        <is>
          <t>ANALISTA CIENCIAS DADOS JR</t>
        </is>
      </c>
      <c r="E139" s="2" t="n">
        <v>6</v>
      </c>
      <c r="F139" s="2" t="inlineStr">
        <is>
          <t>ATIVO</t>
        </is>
      </c>
      <c r="G139" s="2" t="inlineStr">
        <is>
          <t>Negócios &amp; operações</t>
        </is>
      </c>
      <c r="H139" s="2" t="inlineStr">
        <is>
          <t>Atuarial, modelagem e dados</t>
        </is>
      </c>
      <c r="I139" s="2" t="inlineStr">
        <is>
          <t>Ciência de Dados</t>
        </is>
      </c>
      <c r="J139" s="2" t="inlineStr">
        <is>
          <t>Analista</t>
        </is>
      </c>
      <c r="K139" s="2" t="inlineStr">
        <is>
          <t>Analista Jr</t>
        </is>
      </c>
      <c r="L139" s="2" t="n">
        <v>211120</v>
      </c>
      <c r="M139" s="2" t="inlineStr">
        <is>
          <t>Avaliação de tempos real</t>
        </is>
      </c>
      <c r="N139" s="2" t="inlineStr">
        <is>
          <t>Elegível</t>
        </is>
      </c>
      <c r="O139" s="2" t="inlineStr">
        <is>
          <t>NAO ELEGIVEL COTA  APRENDIZ</t>
        </is>
      </c>
      <c r="P139" s="2" t="inlineStr">
        <is>
          <t>CLT</t>
        </is>
      </c>
      <c r="Q139" s="2" t="inlineStr">
        <is>
          <t>Preponderante</t>
        </is>
      </c>
      <c r="R139" s="2" t="inlineStr">
        <is>
          <t>Empreendimentos</t>
        </is>
      </c>
      <c r="S139"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39" s="2" t="inlineStr">
        <is>
          <t>IE.07.003.P10</t>
        </is>
      </c>
      <c r="U139" s="2" t="inlineStr">
        <is>
          <t>IE.07.003.P10</t>
        </is>
      </c>
    </row>
    <row r="140">
      <c r="A140" s="2" t="inlineStr">
        <is>
          <t>BVP</t>
        </is>
      </c>
      <c r="B140" s="2" t="inlineStr">
        <is>
          <t>PREVIDENCIA</t>
        </is>
      </c>
      <c r="C140" s="2" t="n">
        <v>3409969</v>
      </c>
      <c r="D140" s="2" t="inlineStr">
        <is>
          <t>ANALISTA CIENCIAS DADOS JR</t>
        </is>
      </c>
      <c r="E140" s="2" t="n">
        <v>6</v>
      </c>
      <c r="F140" s="2" t="inlineStr">
        <is>
          <t>ATIVO</t>
        </is>
      </c>
      <c r="G140" s="2" t="inlineStr">
        <is>
          <t>Negócios &amp; operações</t>
        </is>
      </c>
      <c r="H140" s="2" t="inlineStr">
        <is>
          <t>Atuarial, modelagem e dados</t>
        </is>
      </c>
      <c r="I140" s="2" t="inlineStr">
        <is>
          <t>Ciência de Dados</t>
        </is>
      </c>
      <c r="J140" s="2" t="inlineStr">
        <is>
          <t>Analista</t>
        </is>
      </c>
      <c r="K140" s="2" t="inlineStr">
        <is>
          <t>Analista Jr</t>
        </is>
      </c>
      <c r="L140" s="2" t="n">
        <v>211120</v>
      </c>
      <c r="M140" s="2" t="inlineStr">
        <is>
          <t>Avaliação de tempos real</t>
        </is>
      </c>
      <c r="N140" s="2" t="inlineStr">
        <is>
          <t>Elegível</t>
        </is>
      </c>
      <c r="O140" s="2" t="inlineStr">
        <is>
          <t>NAO ELEGIVEL COTA  APRENDIZ</t>
        </is>
      </c>
      <c r="P140" s="2" t="inlineStr">
        <is>
          <t>CLT</t>
        </is>
      </c>
      <c r="Q140" s="2" t="inlineStr">
        <is>
          <t>Preponderante</t>
        </is>
      </c>
      <c r="R140" s="2" t="inlineStr">
        <is>
          <t>Vida e Previdência</t>
        </is>
      </c>
      <c r="S140"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0" s="2" t="inlineStr">
        <is>
          <t>IE.07.003.P10</t>
        </is>
      </c>
      <c r="U140" s="2" t="inlineStr">
        <is>
          <t>IE.07.003.P10</t>
        </is>
      </c>
    </row>
    <row r="141">
      <c r="A141" s="2" t="inlineStr">
        <is>
          <t>CAP</t>
        </is>
      </c>
      <c r="B141" s="2" t="inlineStr">
        <is>
          <t>CAPITALIZ</t>
        </is>
      </c>
      <c r="C141" s="2" t="n">
        <v>7309969</v>
      </c>
      <c r="D141" s="2" t="inlineStr">
        <is>
          <t>ANALISTA CIENCIAS DADOS JR</t>
        </is>
      </c>
      <c r="E141" s="2" t="n">
        <v>6</v>
      </c>
      <c r="F141" s="2" t="inlineStr">
        <is>
          <t>ATIVO</t>
        </is>
      </c>
      <c r="G141" s="2" t="inlineStr">
        <is>
          <t>Negócios &amp; operações</t>
        </is>
      </c>
      <c r="H141" s="2" t="inlineStr">
        <is>
          <t>Atuarial, modelagem e dados</t>
        </is>
      </c>
      <c r="I141" s="2" t="inlineStr">
        <is>
          <t>Ciência de Dados</t>
        </is>
      </c>
      <c r="J141" s="2" t="inlineStr">
        <is>
          <t>Analista</t>
        </is>
      </c>
      <c r="K141" s="2" t="inlineStr">
        <is>
          <t>Analista Jr</t>
        </is>
      </c>
      <c r="L141" s="2" t="n">
        <v>211120</v>
      </c>
      <c r="M141" s="2" t="inlineStr">
        <is>
          <t>Avaliação de tempos real</t>
        </is>
      </c>
      <c r="N141" s="2" t="inlineStr">
        <is>
          <t>Elegível</t>
        </is>
      </c>
      <c r="O141" s="2" t="inlineStr">
        <is>
          <t>NAO ELEGIVEL COTA  APRENDIZ</t>
        </is>
      </c>
      <c r="P141" s="2" t="inlineStr">
        <is>
          <t>CLT</t>
        </is>
      </c>
      <c r="Q141" s="2" t="inlineStr">
        <is>
          <t>Preponderante</t>
        </is>
      </c>
      <c r="R141" s="2" t="inlineStr">
        <is>
          <t>Vida e Previdência</t>
        </is>
      </c>
      <c r="S141"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1" s="2" t="inlineStr">
        <is>
          <t>IE.07.003.P10</t>
        </is>
      </c>
      <c r="U141" s="2" t="inlineStr">
        <is>
          <t>IE.07.003.P10</t>
        </is>
      </c>
    </row>
    <row r="142">
      <c r="A142" s="2" t="inlineStr">
        <is>
          <t>HOLDING</t>
        </is>
      </c>
      <c r="B142" s="2" t="inlineStr">
        <is>
          <t>HOLDING</t>
        </is>
      </c>
      <c r="C142" s="2" t="n">
        <v>6109969</v>
      </c>
      <c r="D142" s="2" t="inlineStr">
        <is>
          <t>ANALISTA CIENCIAS DADOS JR</t>
        </is>
      </c>
      <c r="E142" s="2" t="n">
        <v>6</v>
      </c>
      <c r="F142" s="2" t="inlineStr">
        <is>
          <t>ATIVO</t>
        </is>
      </c>
      <c r="G142" s="2" t="inlineStr">
        <is>
          <t>Negócios &amp; operações</t>
        </is>
      </c>
      <c r="H142" s="2" t="inlineStr">
        <is>
          <t>Atuarial, modelagem e dados</t>
        </is>
      </c>
      <c r="I142" s="2" t="inlineStr">
        <is>
          <t>Ciência de Dados</t>
        </is>
      </c>
      <c r="J142" s="2" t="inlineStr">
        <is>
          <t>Analista</t>
        </is>
      </c>
      <c r="K142" s="2" t="inlineStr">
        <is>
          <t>Analista Jr</t>
        </is>
      </c>
      <c r="L142" s="2" t="n">
        <v>211120</v>
      </c>
      <c r="M142" s="2" t="inlineStr">
        <is>
          <t>Avaliação de tempos real</t>
        </is>
      </c>
      <c r="N142" s="2" t="inlineStr">
        <is>
          <t>Elegível</t>
        </is>
      </c>
      <c r="O142" s="2" t="inlineStr">
        <is>
          <t>NAO ELEGIVEL COTA  APRENDIZ</t>
        </is>
      </c>
      <c r="P142" s="2" t="inlineStr">
        <is>
          <t>CLT</t>
        </is>
      </c>
      <c r="Q142" s="2" t="inlineStr">
        <is>
          <t>Preponderante</t>
        </is>
      </c>
      <c r="R142" s="2" t="inlineStr">
        <is>
          <t>Elementares</t>
        </is>
      </c>
      <c r="S142"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2" s="2" t="inlineStr">
        <is>
          <t>IE.07.003.P10</t>
        </is>
      </c>
      <c r="U142" s="2" t="inlineStr">
        <is>
          <t>IE.07.003.P10</t>
        </is>
      </c>
    </row>
    <row r="143">
      <c r="A143" s="2" t="inlineStr">
        <is>
          <t>NOVAMED</t>
        </is>
      </c>
      <c r="B143" s="2" t="inlineStr">
        <is>
          <t>NOVAMED</t>
        </is>
      </c>
      <c r="C143" s="2" t="n">
        <v>11609969</v>
      </c>
      <c r="D143" s="2" t="inlineStr">
        <is>
          <t>ANALISTA CIENCIAS DADOS JR</t>
        </is>
      </c>
      <c r="E143" s="2" t="n">
        <v>6</v>
      </c>
      <c r="F143" s="2" t="inlineStr">
        <is>
          <t>ATIVO</t>
        </is>
      </c>
      <c r="G143" s="2" t="inlineStr">
        <is>
          <t>Negócios &amp; operações</t>
        </is>
      </c>
      <c r="H143" s="2" t="inlineStr">
        <is>
          <t>Atuarial, modelagem e dados</t>
        </is>
      </c>
      <c r="I143" s="2" t="inlineStr">
        <is>
          <t>Ciência de Dados</t>
        </is>
      </c>
      <c r="J143" s="2" t="inlineStr">
        <is>
          <t>Analista</t>
        </is>
      </c>
      <c r="K143" s="2" t="inlineStr">
        <is>
          <t>Analista Jr</t>
        </is>
      </c>
      <c r="L143" s="2" t="n">
        <v>211120</v>
      </c>
      <c r="M143" s="2" t="inlineStr">
        <is>
          <t>Avaliação de tempos real</t>
        </is>
      </c>
      <c r="N143" s="2" t="inlineStr">
        <is>
          <t>Elegível</t>
        </is>
      </c>
      <c r="O143" s="2" t="inlineStr">
        <is>
          <t>NAO ELEGIVEL COTA  APRENDIZ</t>
        </is>
      </c>
      <c r="P143" s="2" t="inlineStr">
        <is>
          <t>CLT</t>
        </is>
      </c>
      <c r="Q143" s="2" t="inlineStr">
        <is>
          <t>Preponderante</t>
        </is>
      </c>
      <c r="R143" s="2" t="inlineStr">
        <is>
          <t>Saúde</t>
        </is>
      </c>
      <c r="S143"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3" s="2" t="inlineStr">
        <is>
          <t>IE.07.003.P10</t>
        </is>
      </c>
      <c r="U143" s="2" t="inlineStr">
        <is>
          <t>IE.07.003.P10</t>
        </is>
      </c>
    </row>
    <row r="144">
      <c r="A144" s="2" t="inlineStr">
        <is>
          <t>SAUDE</t>
        </is>
      </c>
      <c r="B144" s="2" t="inlineStr">
        <is>
          <t>SAUDE</t>
        </is>
      </c>
      <c r="C144" s="2" t="n">
        <v>6309969</v>
      </c>
      <c r="D144" s="2" t="inlineStr">
        <is>
          <t>ANALISTA CIENCIAS DADOS JR</t>
        </is>
      </c>
      <c r="E144" s="2" t="n">
        <v>6</v>
      </c>
      <c r="F144" s="2" t="inlineStr">
        <is>
          <t>ATIVO</t>
        </is>
      </c>
      <c r="G144" s="2" t="inlineStr">
        <is>
          <t>Negócios &amp; operações</t>
        </is>
      </c>
      <c r="H144" s="2" t="inlineStr">
        <is>
          <t>Atuarial, modelagem e dados</t>
        </is>
      </c>
      <c r="I144" s="2" t="inlineStr">
        <is>
          <t>Ciência de Dados</t>
        </is>
      </c>
      <c r="J144" s="2" t="inlineStr">
        <is>
          <t>Analista</t>
        </is>
      </c>
      <c r="K144" s="2" t="inlineStr">
        <is>
          <t>Analista Jr</t>
        </is>
      </c>
      <c r="L144" s="2" t="n">
        <v>211120</v>
      </c>
      <c r="M144" s="2" t="inlineStr">
        <is>
          <t>Avaliação de tempos real</t>
        </is>
      </c>
      <c r="N144" s="2" t="inlineStr">
        <is>
          <t>Elegível</t>
        </is>
      </c>
      <c r="O144" s="2" t="inlineStr">
        <is>
          <t>NAO ELEGIVEL COTA  APRENDIZ</t>
        </is>
      </c>
      <c r="P144" s="2" t="inlineStr">
        <is>
          <t>CLT</t>
        </is>
      </c>
      <c r="Q144" s="2" t="inlineStr">
        <is>
          <t>Preponderante</t>
        </is>
      </c>
      <c r="R144" s="2" t="inlineStr">
        <is>
          <t>Saúde</t>
        </is>
      </c>
      <c r="S144"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44" s="2" t="inlineStr">
        <is>
          <t>IE.07.003.P10</t>
        </is>
      </c>
      <c r="U144" s="2" t="inlineStr">
        <is>
          <t>IE.07.003.P10</t>
        </is>
      </c>
    </row>
    <row r="145">
      <c r="A145" s="2" t="inlineStr">
        <is>
          <t>SAUDE OPERADORA</t>
        </is>
      </c>
      <c r="B145" s="2" t="inlineStr">
        <is>
          <t>APOR</t>
        </is>
      </c>
      <c r="C145" s="2" t="n">
        <v>409969</v>
      </c>
      <c r="D145" s="2" t="inlineStr">
        <is>
          <t>ANALISTA CIENCIAS DADOS JR</t>
        </is>
      </c>
      <c r="E145" s="2" t="n">
        <v>6</v>
      </c>
      <c r="F145" s="2" t="inlineStr">
        <is>
          <t>ATIVO</t>
        </is>
      </c>
      <c r="G145" s="2" t="inlineStr">
        <is>
          <t>Negócios &amp; operações</t>
        </is>
      </c>
      <c r="H145" s="2" t="inlineStr">
        <is>
          <t>Atuarial, modelagem e dados</t>
        </is>
      </c>
      <c r="I145" s="2" t="inlineStr">
        <is>
          <t>Ciência de Dados</t>
        </is>
      </c>
      <c r="J145" s="2" t="inlineStr">
        <is>
          <t>Analista</t>
        </is>
      </c>
      <c r="K145" s="2" t="inlineStr">
        <is>
          <t>Analista Jr</t>
        </is>
      </c>
      <c r="L145" s="2" t="n">
        <v>211120</v>
      </c>
      <c r="M145" s="2" t="inlineStr">
        <is>
          <t>Avaliação de tempos real</t>
        </is>
      </c>
      <c r="N145" s="2" t="inlineStr">
        <is>
          <t>Elegível</t>
        </is>
      </c>
      <c r="O145" s="2" t="inlineStr">
        <is>
          <t>NAO ELEGIVEL COTA  APRENDIZ</t>
        </is>
      </c>
      <c r="P145" s="2" t="inlineStr">
        <is>
          <t>CLT</t>
        </is>
      </c>
      <c r="Q145" s="2" t="inlineStr">
        <is>
          <t>Preponderante</t>
        </is>
      </c>
      <c r="R145" s="2" t="inlineStr">
        <is>
          <t>Saúde</t>
        </is>
      </c>
      <c r="S145"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5" s="2" t="inlineStr">
        <is>
          <t>IE.07.003.P10</t>
        </is>
      </c>
      <c r="U145" s="2" t="inlineStr">
        <is>
          <t>IE.07.003.P10</t>
        </is>
      </c>
    </row>
    <row r="146">
      <c r="A146" s="2" t="inlineStr">
        <is>
          <t>AFFINITY</t>
        </is>
      </c>
      <c r="B146" s="2" t="inlineStr">
        <is>
          <t>BSP AFFINITY</t>
        </is>
      </c>
      <c r="C146" s="2" t="n">
        <v>10009968</v>
      </c>
      <c r="D146" s="2" t="inlineStr">
        <is>
          <t>ANALISTA CIENCIAS DADOS PL</t>
        </is>
      </c>
      <c r="E146" s="2" t="n">
        <v>8</v>
      </c>
      <c r="F146" s="2" t="inlineStr">
        <is>
          <t>ATIVO</t>
        </is>
      </c>
      <c r="G146" s="2" t="inlineStr">
        <is>
          <t>Negócios &amp; operações</t>
        </is>
      </c>
      <c r="H146" s="2" t="inlineStr">
        <is>
          <t>Atuarial, modelagem e dados</t>
        </is>
      </c>
      <c r="I146" s="2" t="inlineStr">
        <is>
          <t>Ciência de Dados</t>
        </is>
      </c>
      <c r="J146" s="2" t="inlineStr">
        <is>
          <t>Analista</t>
        </is>
      </c>
      <c r="K146" s="2" t="inlineStr">
        <is>
          <t>Analista Pl</t>
        </is>
      </c>
      <c r="L146" s="2" t="n">
        <v>211120</v>
      </c>
      <c r="M146" s="2" t="inlineStr">
        <is>
          <t>Avaliação de tempos real</t>
        </is>
      </c>
      <c r="N146" s="2" t="inlineStr">
        <is>
          <t>Elegível</t>
        </is>
      </c>
      <c r="O146" s="2" t="inlineStr">
        <is>
          <t>NAO ELEGIVEL COTA  APRENDIZ</t>
        </is>
      </c>
      <c r="P146" s="2" t="inlineStr">
        <is>
          <t>CLT</t>
        </is>
      </c>
      <c r="Q146" s="2" t="inlineStr">
        <is>
          <t>Preponderante</t>
        </is>
      </c>
      <c r="R146" s="2" t="inlineStr">
        <is>
          <t>Affinity</t>
        </is>
      </c>
      <c r="S146"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6" s="2" t="inlineStr">
        <is>
          <t>IE.07.003.P20</t>
        </is>
      </c>
      <c r="U146" s="2" t="inlineStr">
        <is>
          <t>IE.07.003.P20</t>
        </is>
      </c>
    </row>
    <row r="147">
      <c r="A147" s="2" t="inlineStr">
        <is>
          <t>BARE</t>
        </is>
      </c>
      <c r="B147" s="2" t="inlineStr">
        <is>
          <t>AUTO RE SEG</t>
        </is>
      </c>
      <c r="C147" s="2" t="n">
        <v>7509968</v>
      </c>
      <c r="D147" s="2" t="inlineStr">
        <is>
          <t>ANALISTA CIENCIAS DADOS PL</t>
        </is>
      </c>
      <c r="E147" s="2" t="n">
        <v>8</v>
      </c>
      <c r="F147" s="2" t="inlineStr">
        <is>
          <t>ATIVO</t>
        </is>
      </c>
      <c r="G147" s="2" t="inlineStr">
        <is>
          <t>Negócios &amp; operações</t>
        </is>
      </c>
      <c r="H147" s="2" t="inlineStr">
        <is>
          <t>Atuarial, modelagem e dados</t>
        </is>
      </c>
      <c r="I147" s="2" t="inlineStr">
        <is>
          <t>Ciência de Dados</t>
        </is>
      </c>
      <c r="J147" s="2" t="inlineStr">
        <is>
          <t>Analista</t>
        </is>
      </c>
      <c r="K147" s="2" t="inlineStr">
        <is>
          <t>Analista Pl</t>
        </is>
      </c>
      <c r="L147" s="2" t="n">
        <v>211120</v>
      </c>
      <c r="M147" s="2" t="inlineStr">
        <is>
          <t>Avaliação de tempos real</t>
        </is>
      </c>
      <c r="N147" s="2" t="inlineStr">
        <is>
          <t>Elegível</t>
        </is>
      </c>
      <c r="O147" s="2" t="inlineStr">
        <is>
          <t>NAO ELEGIVEL COTA  APRENDIZ</t>
        </is>
      </c>
      <c r="P147" s="2" t="inlineStr">
        <is>
          <t>CLT</t>
        </is>
      </c>
      <c r="Q147" s="2" t="inlineStr">
        <is>
          <t>Preponderante</t>
        </is>
      </c>
      <c r="R147" s="2" t="inlineStr">
        <is>
          <t>Elementares</t>
        </is>
      </c>
      <c r="S147"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7" s="2" t="inlineStr">
        <is>
          <t>IE.07.003.P20</t>
        </is>
      </c>
      <c r="U147" s="2" t="inlineStr">
        <is>
          <t>IE.07.003.P20</t>
        </is>
      </c>
    </row>
    <row r="148">
      <c r="A148" s="2" t="inlineStr">
        <is>
          <t>BSP</t>
        </is>
      </c>
      <c r="B148" s="2" t="inlineStr">
        <is>
          <t>IMOBILIARIA</t>
        </is>
      </c>
      <c r="C148" s="2" t="n">
        <v>10609968</v>
      </c>
      <c r="D148" s="2" t="inlineStr">
        <is>
          <t>ANALISTA CIENCIAS DADOS PL</t>
        </is>
      </c>
      <c r="E148" s="2" t="n">
        <v>8</v>
      </c>
      <c r="F148" s="2" t="inlineStr">
        <is>
          <t>ATIVO</t>
        </is>
      </c>
      <c r="G148" s="2" t="inlineStr">
        <is>
          <t>Negócios &amp; operações</t>
        </is>
      </c>
      <c r="H148" s="2" t="inlineStr">
        <is>
          <t>Atuarial, modelagem e dados</t>
        </is>
      </c>
      <c r="I148" s="2" t="inlineStr">
        <is>
          <t>Ciência de Dados</t>
        </is>
      </c>
      <c r="J148" s="2" t="inlineStr">
        <is>
          <t>Analista</t>
        </is>
      </c>
      <c r="K148" s="2" t="inlineStr">
        <is>
          <t>Analista Pl</t>
        </is>
      </c>
      <c r="L148" s="2" t="n">
        <v>211120</v>
      </c>
      <c r="M148" s="2" t="inlineStr">
        <is>
          <t>Avaliação de tempos real</t>
        </is>
      </c>
      <c r="N148" s="2" t="inlineStr">
        <is>
          <t>Elegível</t>
        </is>
      </c>
      <c r="O148" s="2" t="inlineStr">
        <is>
          <t>NAO ELEGIVEL COTA  APRENDIZ</t>
        </is>
      </c>
      <c r="P148" s="2" t="inlineStr">
        <is>
          <t>CLT</t>
        </is>
      </c>
      <c r="Q148" s="2" t="inlineStr">
        <is>
          <t>Preponderante</t>
        </is>
      </c>
      <c r="R148" s="2" t="inlineStr">
        <is>
          <t>Empreendimentos</t>
        </is>
      </c>
      <c r="S148"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48" s="2" t="inlineStr">
        <is>
          <t>IE.07.003.P20</t>
        </is>
      </c>
      <c r="U148" s="2" t="inlineStr">
        <is>
          <t>IE.07.003.P20</t>
        </is>
      </c>
    </row>
    <row r="149">
      <c r="A149" s="2" t="inlineStr">
        <is>
          <t>BVP</t>
        </is>
      </c>
      <c r="B149" s="2" t="inlineStr">
        <is>
          <t>PREVIDENCIA</t>
        </is>
      </c>
      <c r="C149" s="2" t="n">
        <v>3409968</v>
      </c>
      <c r="D149" s="2" t="inlineStr">
        <is>
          <t>ANALISTA CIENCIAS DADOS PL</t>
        </is>
      </c>
      <c r="E149" s="2" t="n">
        <v>8</v>
      </c>
      <c r="F149" s="2" t="inlineStr">
        <is>
          <t>ATIVO</t>
        </is>
      </c>
      <c r="G149" s="2" t="inlineStr">
        <is>
          <t>Negócios &amp; operações</t>
        </is>
      </c>
      <c r="H149" s="2" t="inlineStr">
        <is>
          <t>Atuarial, modelagem e dados</t>
        </is>
      </c>
      <c r="I149" s="2" t="inlineStr">
        <is>
          <t>Ciência de Dados</t>
        </is>
      </c>
      <c r="J149" s="2" t="inlineStr">
        <is>
          <t>Analista</t>
        </is>
      </c>
      <c r="K149" s="2" t="inlineStr">
        <is>
          <t>Analista Pl</t>
        </is>
      </c>
      <c r="L149" s="2" t="n">
        <v>211120</v>
      </c>
      <c r="M149" s="2" t="inlineStr">
        <is>
          <t>Avaliação de tempos real</t>
        </is>
      </c>
      <c r="N149" s="2" t="inlineStr">
        <is>
          <t>Elegível</t>
        </is>
      </c>
      <c r="O149" s="2" t="inlineStr">
        <is>
          <t>NAO ELEGIVEL COTA  APRENDIZ</t>
        </is>
      </c>
      <c r="P149" s="2" t="inlineStr">
        <is>
          <t>CLT</t>
        </is>
      </c>
      <c r="Q149" s="2" t="inlineStr">
        <is>
          <t>Preponderante</t>
        </is>
      </c>
      <c r="R149" s="2" t="inlineStr">
        <is>
          <t>Vida e Previdência</t>
        </is>
      </c>
      <c r="S149"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49" s="2" t="inlineStr">
        <is>
          <t>IE.07.003.P20</t>
        </is>
      </c>
      <c r="U149" s="2" t="inlineStr">
        <is>
          <t>IE.07.003.P20</t>
        </is>
      </c>
    </row>
    <row r="150">
      <c r="A150" s="2" t="inlineStr">
        <is>
          <t>CAP</t>
        </is>
      </c>
      <c r="B150" s="2" t="inlineStr">
        <is>
          <t>CAPITALIZ</t>
        </is>
      </c>
      <c r="C150" s="2" t="n">
        <v>7309968</v>
      </c>
      <c r="D150" s="2" t="inlineStr">
        <is>
          <t>ANALISTA CIENCIAS DADOS PL</t>
        </is>
      </c>
      <c r="E150" s="2" t="n">
        <v>8</v>
      </c>
      <c r="F150" s="2" t="inlineStr">
        <is>
          <t>ATIVO</t>
        </is>
      </c>
      <c r="G150" s="2" t="inlineStr">
        <is>
          <t>Negócios &amp; operações</t>
        </is>
      </c>
      <c r="H150" s="2" t="inlineStr">
        <is>
          <t>Atuarial, modelagem e dados</t>
        </is>
      </c>
      <c r="I150" s="2" t="inlineStr">
        <is>
          <t>Ciência de Dados</t>
        </is>
      </c>
      <c r="J150" s="2" t="inlineStr">
        <is>
          <t>Analista</t>
        </is>
      </c>
      <c r="K150" s="2" t="inlineStr">
        <is>
          <t>Analista Pl</t>
        </is>
      </c>
      <c r="L150" s="2" t="n">
        <v>211120</v>
      </c>
      <c r="M150" s="2" t="inlineStr">
        <is>
          <t>Avaliação de tempos real</t>
        </is>
      </c>
      <c r="N150" s="2" t="inlineStr">
        <is>
          <t>Elegível</t>
        </is>
      </c>
      <c r="O150" s="2" t="inlineStr">
        <is>
          <t>NAO ELEGIVEL COTA  APRENDIZ</t>
        </is>
      </c>
      <c r="P150" s="2" t="inlineStr">
        <is>
          <t>CLT</t>
        </is>
      </c>
      <c r="Q150" s="2" t="inlineStr">
        <is>
          <t>Preponderante</t>
        </is>
      </c>
      <c r="R150" s="2" t="inlineStr">
        <is>
          <t>Vida e Previdência</t>
        </is>
      </c>
      <c r="S150"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0" s="2" t="inlineStr">
        <is>
          <t>IE.07.003.P20</t>
        </is>
      </c>
      <c r="U150" s="2" t="inlineStr">
        <is>
          <t>IE.07.003.P20</t>
        </is>
      </c>
    </row>
    <row r="151">
      <c r="A151" s="2" t="inlineStr">
        <is>
          <t>HOLDING</t>
        </is>
      </c>
      <c r="B151" s="2" t="inlineStr">
        <is>
          <t>HOLDING</t>
        </is>
      </c>
      <c r="C151" s="2" t="n">
        <v>6109968</v>
      </c>
      <c r="D151" s="2" t="inlineStr">
        <is>
          <t>ANALISTA CIENCIAS DADOS PL</t>
        </is>
      </c>
      <c r="E151" s="2" t="n">
        <v>8</v>
      </c>
      <c r="F151" s="2" t="inlineStr">
        <is>
          <t>ATIVO</t>
        </is>
      </c>
      <c r="G151" s="2" t="inlineStr">
        <is>
          <t>Negócios &amp; operações</t>
        </is>
      </c>
      <c r="H151" s="2" t="inlineStr">
        <is>
          <t>Atuarial, modelagem e dados</t>
        </is>
      </c>
      <c r="I151" s="2" t="inlineStr">
        <is>
          <t>Ciência de Dados</t>
        </is>
      </c>
      <c r="J151" s="2" t="inlineStr">
        <is>
          <t>Analista</t>
        </is>
      </c>
      <c r="K151" s="2" t="inlineStr">
        <is>
          <t>Analista Pl</t>
        </is>
      </c>
      <c r="L151" s="2" t="n">
        <v>211120</v>
      </c>
      <c r="M151" s="2" t="inlineStr">
        <is>
          <t>Avaliação de tempos real</t>
        </is>
      </c>
      <c r="N151" s="2" t="inlineStr">
        <is>
          <t>Elegível</t>
        </is>
      </c>
      <c r="O151" s="2" t="inlineStr">
        <is>
          <t>NAO ELEGIVEL COTA  APRENDIZ</t>
        </is>
      </c>
      <c r="P151" s="2" t="inlineStr">
        <is>
          <t>CLT</t>
        </is>
      </c>
      <c r="Q151" s="2" t="inlineStr">
        <is>
          <t>Preponderante</t>
        </is>
      </c>
      <c r="R151" s="2" t="inlineStr">
        <is>
          <t>Elementares</t>
        </is>
      </c>
      <c r="S151"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1" s="2" t="inlineStr">
        <is>
          <t>IE.07.003.P20</t>
        </is>
      </c>
      <c r="U151" s="2" t="inlineStr">
        <is>
          <t>IE.07.003.P20</t>
        </is>
      </c>
    </row>
    <row r="152">
      <c r="A152" s="2" t="inlineStr">
        <is>
          <t>NOVAMED</t>
        </is>
      </c>
      <c r="B152" s="2" t="inlineStr">
        <is>
          <t>NOVAMED</t>
        </is>
      </c>
      <c r="C152" s="2" t="n">
        <v>11609968</v>
      </c>
      <c r="D152" s="2" t="inlineStr">
        <is>
          <t>ANALISTA CIENCIAS DADOS PL</t>
        </is>
      </c>
      <c r="E152" s="2" t="n">
        <v>8</v>
      </c>
      <c r="F152" s="2" t="inlineStr">
        <is>
          <t>ATIVO</t>
        </is>
      </c>
      <c r="G152" s="2" t="inlineStr">
        <is>
          <t>Negócios &amp; operações</t>
        </is>
      </c>
      <c r="H152" s="2" t="inlineStr">
        <is>
          <t>Atuarial, modelagem e dados</t>
        </is>
      </c>
      <c r="I152" s="2" t="inlineStr">
        <is>
          <t>Ciência de Dados</t>
        </is>
      </c>
      <c r="J152" s="2" t="inlineStr">
        <is>
          <t>Analista</t>
        </is>
      </c>
      <c r="K152" s="2" t="inlineStr">
        <is>
          <t>Analista Pl</t>
        </is>
      </c>
      <c r="L152" s="2" t="n">
        <v>211120</v>
      </c>
      <c r="M152" s="2" t="inlineStr">
        <is>
          <t>Avaliação de tempos real</t>
        </is>
      </c>
      <c r="N152" s="2" t="inlineStr">
        <is>
          <t>Elegível</t>
        </is>
      </c>
      <c r="O152" s="2" t="inlineStr">
        <is>
          <t>NAO ELEGIVEL COTA  APRENDIZ</t>
        </is>
      </c>
      <c r="P152" s="2" t="inlineStr">
        <is>
          <t>CLT</t>
        </is>
      </c>
      <c r="Q152" s="2" t="inlineStr">
        <is>
          <t>Preponderante</t>
        </is>
      </c>
      <c r="R152" s="2" t="inlineStr">
        <is>
          <t>Saúde</t>
        </is>
      </c>
      <c r="S152"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2" s="2" t="inlineStr">
        <is>
          <t>IE.07.003.P20</t>
        </is>
      </c>
      <c r="U152" s="2" t="inlineStr">
        <is>
          <t>IE.07.003.P20</t>
        </is>
      </c>
    </row>
    <row r="153">
      <c r="A153" s="2" t="inlineStr">
        <is>
          <t>SAUDE</t>
        </is>
      </c>
      <c r="B153" s="2" t="inlineStr">
        <is>
          <t>SAUDE</t>
        </is>
      </c>
      <c r="C153" s="2" t="n">
        <v>6309968</v>
      </c>
      <c r="D153" s="2" t="inlineStr">
        <is>
          <t>ANALISTA CIENCIAS DADOS PL</t>
        </is>
      </c>
      <c r="E153" s="2" t="n">
        <v>8</v>
      </c>
      <c r="F153" s="2" t="inlineStr">
        <is>
          <t>ATIVO</t>
        </is>
      </c>
      <c r="G153" s="2" t="inlineStr">
        <is>
          <t>Negócios &amp; operações</t>
        </is>
      </c>
      <c r="H153" s="2" t="inlineStr">
        <is>
          <t>Atuarial, modelagem e dados</t>
        </is>
      </c>
      <c r="I153" s="2" t="inlineStr">
        <is>
          <t>Ciência de Dados</t>
        </is>
      </c>
      <c r="J153" s="2" t="inlineStr">
        <is>
          <t>Analista</t>
        </is>
      </c>
      <c r="K153" s="2" t="inlineStr">
        <is>
          <t>Analista Pl</t>
        </is>
      </c>
      <c r="L153" s="2" t="n">
        <v>211120</v>
      </c>
      <c r="M153" s="2" t="inlineStr">
        <is>
          <t>Avaliação de tempos real</t>
        </is>
      </c>
      <c r="N153" s="2" t="inlineStr">
        <is>
          <t>Elegível</t>
        </is>
      </c>
      <c r="O153" s="2" t="inlineStr">
        <is>
          <t>NAO ELEGIVEL COTA  APRENDIZ</t>
        </is>
      </c>
      <c r="P153" s="2" t="inlineStr">
        <is>
          <t>CLT</t>
        </is>
      </c>
      <c r="Q153" s="2" t="inlineStr">
        <is>
          <t>Preponderante</t>
        </is>
      </c>
      <c r="R153" s="2" t="inlineStr">
        <is>
          <t>Saúde</t>
        </is>
      </c>
      <c r="S153"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53" s="2" t="inlineStr">
        <is>
          <t>IE.07.003.P20</t>
        </is>
      </c>
      <c r="U153" s="2" t="inlineStr">
        <is>
          <t>IE.07.003.P20</t>
        </is>
      </c>
    </row>
    <row r="154">
      <c r="A154" s="2" t="inlineStr">
        <is>
          <t>SAUDE OPERADORA</t>
        </is>
      </c>
      <c r="B154" s="2" t="inlineStr">
        <is>
          <t>APOR</t>
        </is>
      </c>
      <c r="C154" s="2" t="n">
        <v>409968</v>
      </c>
      <c r="D154" s="2" t="inlineStr">
        <is>
          <t>ANALISTA CIENCIAS DADOS PL</t>
        </is>
      </c>
      <c r="E154" s="2" t="n">
        <v>8</v>
      </c>
      <c r="F154" s="2" t="inlineStr">
        <is>
          <t>ATIVO</t>
        </is>
      </c>
      <c r="G154" s="2" t="inlineStr">
        <is>
          <t>Negócios &amp; operações</t>
        </is>
      </c>
      <c r="H154" s="2" t="inlineStr">
        <is>
          <t>Atuarial, modelagem e dados</t>
        </is>
      </c>
      <c r="I154" s="2" t="inlineStr">
        <is>
          <t>Ciência de Dados</t>
        </is>
      </c>
      <c r="J154" s="2" t="inlineStr">
        <is>
          <t>Analista</t>
        </is>
      </c>
      <c r="K154" s="2" t="inlineStr">
        <is>
          <t>Analista Pl</t>
        </is>
      </c>
      <c r="L154" s="2" t="n">
        <v>211120</v>
      </c>
      <c r="M154" s="2" t="inlineStr">
        <is>
          <t>Avaliação de tempos real</t>
        </is>
      </c>
      <c r="N154" s="2" t="inlineStr">
        <is>
          <t>Elegível</t>
        </is>
      </c>
      <c r="O154" s="2" t="inlineStr">
        <is>
          <t>NAO ELEGIVEL COTA  APRENDIZ</t>
        </is>
      </c>
      <c r="P154" s="2" t="inlineStr">
        <is>
          <t>CLT</t>
        </is>
      </c>
      <c r="Q154" s="2" t="inlineStr">
        <is>
          <t>Preponderante</t>
        </is>
      </c>
      <c r="R154" s="2" t="inlineStr">
        <is>
          <t>Saúde</t>
        </is>
      </c>
      <c r="S154"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4" s="2" t="inlineStr">
        <is>
          <t>IE.07.003.P20</t>
        </is>
      </c>
      <c r="U154" s="2" t="inlineStr">
        <is>
          <t>IE.07.003.P20</t>
        </is>
      </c>
    </row>
    <row r="155">
      <c r="A155" s="2" t="inlineStr">
        <is>
          <t>AFFINITY</t>
        </is>
      </c>
      <c r="B155" s="2" t="inlineStr">
        <is>
          <t>BSP AFFINITY</t>
        </is>
      </c>
      <c r="C155" s="2" t="n">
        <v>10009967</v>
      </c>
      <c r="D155" s="2" t="inlineStr">
        <is>
          <t>ANALISTA CIENCIAS DADOS SR</t>
        </is>
      </c>
      <c r="E155" s="2" t="n">
        <v>10</v>
      </c>
      <c r="F155" s="2" t="inlineStr">
        <is>
          <t>ATIVO</t>
        </is>
      </c>
      <c r="G155" s="2" t="inlineStr">
        <is>
          <t>Negócios &amp; operações</t>
        </is>
      </c>
      <c r="H155" s="2" t="inlineStr">
        <is>
          <t>Atuarial, modelagem e dados</t>
        </is>
      </c>
      <c r="I155" s="2" t="inlineStr">
        <is>
          <t>Ciência de Dados</t>
        </is>
      </c>
      <c r="J155" s="2" t="inlineStr">
        <is>
          <t>Analista</t>
        </is>
      </c>
      <c r="K155" s="2" t="inlineStr">
        <is>
          <t>Analista Sr</t>
        </is>
      </c>
      <c r="L155" s="2" t="n">
        <v>211120</v>
      </c>
      <c r="M155" s="2" t="inlineStr">
        <is>
          <t>Avaliação de tempos real</t>
        </is>
      </c>
      <c r="N155" s="2" t="inlineStr">
        <is>
          <t>Elegível</t>
        </is>
      </c>
      <c r="O155" s="2" t="inlineStr">
        <is>
          <t>NAO ELEGIVEL COTA  APRENDIZ</t>
        </is>
      </c>
      <c r="P155" s="2" t="inlineStr">
        <is>
          <t>CLT</t>
        </is>
      </c>
      <c r="Q155" s="2" t="inlineStr">
        <is>
          <t>Preponderante</t>
        </is>
      </c>
      <c r="R155" s="2" t="inlineStr">
        <is>
          <t>Affinity</t>
        </is>
      </c>
      <c r="S155"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5" s="2" t="inlineStr">
        <is>
          <t>IE.07.003.P30</t>
        </is>
      </c>
      <c r="U155" s="2" t="inlineStr">
        <is>
          <t>IE.07.003.P30</t>
        </is>
      </c>
    </row>
    <row r="156">
      <c r="A156" s="2" t="inlineStr">
        <is>
          <t>BARE</t>
        </is>
      </c>
      <c r="B156" s="2" t="inlineStr">
        <is>
          <t>AUTO RE SEG</t>
        </is>
      </c>
      <c r="C156" s="2" t="n">
        <v>7509967</v>
      </c>
      <c r="D156" s="2" t="inlineStr">
        <is>
          <t>ANALISTA CIENCIAS DADOS SR</t>
        </is>
      </c>
      <c r="E156" s="2" t="n">
        <v>10</v>
      </c>
      <c r="F156" s="2" t="inlineStr">
        <is>
          <t>ATIVO</t>
        </is>
      </c>
      <c r="G156" s="2" t="inlineStr">
        <is>
          <t>Negócios &amp; operações</t>
        </is>
      </c>
      <c r="H156" s="2" t="inlineStr">
        <is>
          <t>Atuarial, modelagem e dados</t>
        </is>
      </c>
      <c r="I156" s="2" t="inlineStr">
        <is>
          <t>Ciência de Dados</t>
        </is>
      </c>
      <c r="J156" s="2" t="inlineStr">
        <is>
          <t>Analista</t>
        </is>
      </c>
      <c r="K156" s="2" t="inlineStr">
        <is>
          <t>Analista Sr</t>
        </is>
      </c>
      <c r="L156" s="2" t="n">
        <v>211120</v>
      </c>
      <c r="M156" s="2" t="inlineStr">
        <is>
          <t>Avaliação de tempos real</t>
        </is>
      </c>
      <c r="N156" s="2" t="inlineStr">
        <is>
          <t>Elegível</t>
        </is>
      </c>
      <c r="O156" s="2" t="inlineStr">
        <is>
          <t>NAO ELEGIVEL COTA  APRENDIZ</t>
        </is>
      </c>
      <c r="P156" s="2" t="inlineStr">
        <is>
          <t>CLT</t>
        </is>
      </c>
      <c r="Q156" s="2" t="inlineStr">
        <is>
          <t>Preponderante</t>
        </is>
      </c>
      <c r="R156" s="2" t="inlineStr">
        <is>
          <t>Elementares</t>
        </is>
      </c>
      <c r="S156"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6" s="2" t="inlineStr">
        <is>
          <t>IE.07.003.P30</t>
        </is>
      </c>
      <c r="U156" s="2" t="inlineStr">
        <is>
          <t>IE.07.003.P30</t>
        </is>
      </c>
    </row>
    <row r="157">
      <c r="A157" s="2" t="inlineStr">
        <is>
          <t>BSP</t>
        </is>
      </c>
      <c r="B157" s="2" t="inlineStr">
        <is>
          <t>IMOBILIARIA</t>
        </is>
      </c>
      <c r="C157" s="2" t="n">
        <v>10609967</v>
      </c>
      <c r="D157" s="2" t="inlineStr">
        <is>
          <t>ANALISTA CIENCIAS DADOS SR</t>
        </is>
      </c>
      <c r="E157" s="2" t="n">
        <v>10</v>
      </c>
      <c r="F157" s="2" t="inlineStr">
        <is>
          <t>ATIVO</t>
        </is>
      </c>
      <c r="G157" s="2" t="inlineStr">
        <is>
          <t>Negócios &amp; operações</t>
        </is>
      </c>
      <c r="H157" s="2" t="inlineStr">
        <is>
          <t>Atuarial, modelagem e dados</t>
        </is>
      </c>
      <c r="I157" s="2" t="inlineStr">
        <is>
          <t>Ciência de Dados</t>
        </is>
      </c>
      <c r="J157" s="2" t="inlineStr">
        <is>
          <t>Analista</t>
        </is>
      </c>
      <c r="K157" s="2" t="inlineStr">
        <is>
          <t>Analista Sr</t>
        </is>
      </c>
      <c r="L157" s="2" t="n">
        <v>211120</v>
      </c>
      <c r="M157" s="2" t="inlineStr">
        <is>
          <t>Avaliação de tempos real</t>
        </is>
      </c>
      <c r="N157" s="2" t="inlineStr">
        <is>
          <t>Elegível</t>
        </is>
      </c>
      <c r="O157" s="2" t="inlineStr">
        <is>
          <t>NAO ELEGIVEL COTA  APRENDIZ</t>
        </is>
      </c>
      <c r="P157" s="2" t="inlineStr">
        <is>
          <t>CLT</t>
        </is>
      </c>
      <c r="Q157" s="2" t="inlineStr">
        <is>
          <t>Preponderante</t>
        </is>
      </c>
      <c r="R157" s="2" t="inlineStr">
        <is>
          <t>Empreendimentos</t>
        </is>
      </c>
      <c r="S157"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57" s="2" t="inlineStr">
        <is>
          <t>IE.07.003.P30</t>
        </is>
      </c>
      <c r="U157" s="2" t="inlineStr">
        <is>
          <t>IE.07.003.P30</t>
        </is>
      </c>
    </row>
    <row r="158">
      <c r="A158" s="2" t="inlineStr">
        <is>
          <t>BVP</t>
        </is>
      </c>
      <c r="B158" s="2" t="inlineStr">
        <is>
          <t>PREVIDENCIA</t>
        </is>
      </c>
      <c r="C158" s="2" t="n">
        <v>3409967</v>
      </c>
      <c r="D158" s="2" t="inlineStr">
        <is>
          <t>ANALISTA CIENCIAS DADOS SR</t>
        </is>
      </c>
      <c r="E158" s="2" t="n">
        <v>10</v>
      </c>
      <c r="F158" s="2" t="inlineStr">
        <is>
          <t>ATIVO</t>
        </is>
      </c>
      <c r="G158" s="2" t="inlineStr">
        <is>
          <t>Negócios &amp; operações</t>
        </is>
      </c>
      <c r="H158" s="2" t="inlineStr">
        <is>
          <t>Atuarial, modelagem e dados</t>
        </is>
      </c>
      <c r="I158" s="2" t="inlineStr">
        <is>
          <t>Ciência de Dados</t>
        </is>
      </c>
      <c r="J158" s="2" t="inlineStr">
        <is>
          <t>Analista</t>
        </is>
      </c>
      <c r="K158" s="2" t="inlineStr">
        <is>
          <t>Analista Sr</t>
        </is>
      </c>
      <c r="L158" s="2" t="n">
        <v>211120</v>
      </c>
      <c r="M158" s="2" t="inlineStr">
        <is>
          <t>Avaliação de tempos real</t>
        </is>
      </c>
      <c r="N158" s="2" t="inlineStr">
        <is>
          <t>Elegível</t>
        </is>
      </c>
      <c r="O158" s="2" t="inlineStr">
        <is>
          <t>NAO ELEGIVEL COTA  APRENDIZ</t>
        </is>
      </c>
      <c r="P158" s="2" t="inlineStr">
        <is>
          <t>CLT</t>
        </is>
      </c>
      <c r="Q158" s="2" t="inlineStr">
        <is>
          <t>Preponderante</t>
        </is>
      </c>
      <c r="R158" s="2" t="inlineStr">
        <is>
          <t>Vida e Previdência</t>
        </is>
      </c>
      <c r="S158"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8" s="2" t="inlineStr">
        <is>
          <t>IE.07.003.P30</t>
        </is>
      </c>
      <c r="U158" s="2" t="inlineStr">
        <is>
          <t>IE.07.003.P30</t>
        </is>
      </c>
    </row>
    <row r="159">
      <c r="A159" s="2" t="inlineStr">
        <is>
          <t>CAP</t>
        </is>
      </c>
      <c r="B159" s="2" t="inlineStr">
        <is>
          <t>CAPITALIZ</t>
        </is>
      </c>
      <c r="C159" s="2" t="n">
        <v>7309967</v>
      </c>
      <c r="D159" s="2" t="inlineStr">
        <is>
          <t>ANALISTA CIENCIAS DADOS SR</t>
        </is>
      </c>
      <c r="E159" s="2" t="n">
        <v>10</v>
      </c>
      <c r="F159" s="2" t="inlineStr">
        <is>
          <t>ATIVO</t>
        </is>
      </c>
      <c r="G159" s="2" t="inlineStr">
        <is>
          <t>Negócios &amp; operações</t>
        </is>
      </c>
      <c r="H159" s="2" t="inlineStr">
        <is>
          <t>Atuarial, modelagem e dados</t>
        </is>
      </c>
      <c r="I159" s="2" t="inlineStr">
        <is>
          <t>Ciência de Dados</t>
        </is>
      </c>
      <c r="J159" s="2" t="inlineStr">
        <is>
          <t>Analista</t>
        </is>
      </c>
      <c r="K159" s="2" t="inlineStr">
        <is>
          <t>Analista Sr</t>
        </is>
      </c>
      <c r="L159" s="2" t="n">
        <v>211120</v>
      </c>
      <c r="M159" s="2" t="inlineStr">
        <is>
          <t>Avaliação de tempos real</t>
        </is>
      </c>
      <c r="N159" s="2" t="inlineStr">
        <is>
          <t>Elegível</t>
        </is>
      </c>
      <c r="O159" s="2" t="inlineStr">
        <is>
          <t>NAO ELEGIVEL COTA  APRENDIZ</t>
        </is>
      </c>
      <c r="P159" s="2" t="inlineStr">
        <is>
          <t>CLT</t>
        </is>
      </c>
      <c r="Q159" s="2" t="inlineStr">
        <is>
          <t>Preponderante</t>
        </is>
      </c>
      <c r="R159" s="2" t="inlineStr">
        <is>
          <t>Vida e Previdência</t>
        </is>
      </c>
      <c r="S159"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59" s="2" t="inlineStr">
        <is>
          <t>IE.07.003.P30</t>
        </is>
      </c>
      <c r="U159" s="2" t="inlineStr">
        <is>
          <t>IE.07.003.P30</t>
        </is>
      </c>
    </row>
    <row r="160">
      <c r="A160" s="2" t="inlineStr">
        <is>
          <t>HOLDING</t>
        </is>
      </c>
      <c r="B160" s="2" t="inlineStr">
        <is>
          <t>HOLDING</t>
        </is>
      </c>
      <c r="C160" s="2" t="n">
        <v>6109967</v>
      </c>
      <c r="D160" s="2" t="inlineStr">
        <is>
          <t>ANALISTA CIENCIAS DADOS SR</t>
        </is>
      </c>
      <c r="E160" s="2" t="n">
        <v>10</v>
      </c>
      <c r="F160" s="2" t="inlineStr">
        <is>
          <t>ATIVO</t>
        </is>
      </c>
      <c r="G160" s="2" t="inlineStr">
        <is>
          <t>Negócios &amp; operações</t>
        </is>
      </c>
      <c r="H160" s="2" t="inlineStr">
        <is>
          <t>Atuarial, modelagem e dados</t>
        </is>
      </c>
      <c r="I160" s="2" t="inlineStr">
        <is>
          <t>Ciência de Dados</t>
        </is>
      </c>
      <c r="J160" s="2" t="inlineStr">
        <is>
          <t>Analista</t>
        </is>
      </c>
      <c r="K160" s="2" t="inlineStr">
        <is>
          <t>Analista Sr</t>
        </is>
      </c>
      <c r="L160" s="2" t="n">
        <v>211120</v>
      </c>
      <c r="M160" s="2" t="inlineStr">
        <is>
          <t>Avaliação de tempos real</t>
        </is>
      </c>
      <c r="N160" s="2" t="inlineStr">
        <is>
          <t>Elegível</t>
        </is>
      </c>
      <c r="O160" s="2" t="inlineStr">
        <is>
          <t>NAO ELEGIVEL COTA  APRENDIZ</t>
        </is>
      </c>
      <c r="P160" s="2" t="inlineStr">
        <is>
          <t>CLT</t>
        </is>
      </c>
      <c r="Q160" s="2" t="inlineStr">
        <is>
          <t>Preponderante</t>
        </is>
      </c>
      <c r="R160" s="2" t="inlineStr">
        <is>
          <t>Elementares</t>
        </is>
      </c>
      <c r="S160"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60" s="2" t="inlineStr">
        <is>
          <t>IE.07.003.P30</t>
        </is>
      </c>
      <c r="U160" s="2" t="inlineStr">
        <is>
          <t>IE.07.003.P30</t>
        </is>
      </c>
    </row>
    <row r="161">
      <c r="A161" s="2" t="inlineStr">
        <is>
          <t>NOVAMED</t>
        </is>
      </c>
      <c r="B161" s="2" t="inlineStr">
        <is>
          <t>NOVAMED</t>
        </is>
      </c>
      <c r="C161" s="2" t="n">
        <v>11609967</v>
      </c>
      <c r="D161" s="2" t="inlineStr">
        <is>
          <t>ANALISTA CIENCIAS DADOS SR</t>
        </is>
      </c>
      <c r="E161" s="2" t="n">
        <v>10</v>
      </c>
      <c r="F161" s="2" t="inlineStr">
        <is>
          <t>ATIVO</t>
        </is>
      </c>
      <c r="G161" s="2" t="inlineStr">
        <is>
          <t>Negócios &amp; operações</t>
        </is>
      </c>
      <c r="H161" s="2" t="inlineStr">
        <is>
          <t>Atuarial, modelagem e dados</t>
        </is>
      </c>
      <c r="I161" s="2" t="inlineStr">
        <is>
          <t>Ciência de Dados</t>
        </is>
      </c>
      <c r="J161" s="2" t="inlineStr">
        <is>
          <t>Analista</t>
        </is>
      </c>
      <c r="K161" s="2" t="inlineStr">
        <is>
          <t>Analista Sr</t>
        </is>
      </c>
      <c r="L161" s="2" t="n">
        <v>211120</v>
      </c>
      <c r="M161" s="2" t="inlineStr">
        <is>
          <t>Avaliação de tempos real</t>
        </is>
      </c>
      <c r="N161" s="2" t="inlineStr">
        <is>
          <t>Elegível</t>
        </is>
      </c>
      <c r="O161" s="2" t="inlineStr">
        <is>
          <t>NAO ELEGIVEL COTA  APRENDIZ</t>
        </is>
      </c>
      <c r="P161" s="2" t="inlineStr">
        <is>
          <t>CLT</t>
        </is>
      </c>
      <c r="Q161" s="2" t="inlineStr">
        <is>
          <t>Preponderante</t>
        </is>
      </c>
      <c r="R161" s="2" t="inlineStr">
        <is>
          <t>Saúde</t>
        </is>
      </c>
      <c r="S161"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61" s="2" t="inlineStr">
        <is>
          <t>IE.07.003.P30</t>
        </is>
      </c>
      <c r="U161" s="2" t="inlineStr">
        <is>
          <t>IE.07.003.P30</t>
        </is>
      </c>
    </row>
    <row r="162">
      <c r="A162" s="2" t="inlineStr">
        <is>
          <t>SAUDE</t>
        </is>
      </c>
      <c r="B162" s="2" t="inlineStr">
        <is>
          <t>SAUDE</t>
        </is>
      </c>
      <c r="C162" s="2" t="n">
        <v>6309967</v>
      </c>
      <c r="D162" s="2" t="inlineStr">
        <is>
          <t>ANALISTA CIENCIAS DADOS SR</t>
        </is>
      </c>
      <c r="E162" s="2" t="n">
        <v>10</v>
      </c>
      <c r="F162" s="2" t="inlineStr">
        <is>
          <t>ATIVO</t>
        </is>
      </c>
      <c r="G162" s="2" t="inlineStr">
        <is>
          <t>Negócios &amp; operações</t>
        </is>
      </c>
      <c r="H162" s="2" t="inlineStr">
        <is>
          <t>Atuarial, modelagem e dados</t>
        </is>
      </c>
      <c r="I162" s="2" t="inlineStr">
        <is>
          <t>Ciência de Dados</t>
        </is>
      </c>
      <c r="J162" s="2" t="inlineStr">
        <is>
          <t>Analista</t>
        </is>
      </c>
      <c r="K162" s="2" t="inlineStr">
        <is>
          <t>Analista Sr</t>
        </is>
      </c>
      <c r="L162" s="2" t="n">
        <v>211120</v>
      </c>
      <c r="M162" s="2" t="inlineStr">
        <is>
          <t>Avaliação de tempos real</t>
        </is>
      </c>
      <c r="N162" s="2" t="inlineStr">
        <is>
          <t>Elegível</t>
        </is>
      </c>
      <c r="O162" s="2" t="inlineStr">
        <is>
          <t>NAO ELEGIVEL COTA  APRENDIZ</t>
        </is>
      </c>
      <c r="P162" s="2" t="inlineStr">
        <is>
          <t>CLT</t>
        </is>
      </c>
      <c r="Q162" s="2" t="inlineStr">
        <is>
          <t>Preponderante</t>
        </is>
      </c>
      <c r="R162" s="2" t="inlineStr">
        <is>
          <t>Saúde</t>
        </is>
      </c>
      <c r="S162" s="2" t="inlineStr">
        <is>
          <t>Profissional com conhecimento de dados e programação, que se utiliza deferramentas estatísticas e computacionais para integrar arquitetura eengenharia de dados em busca de modelos preditivos, transformando-os empadrões que respondam às questões estratégicas do negócio para tomada dedecisão.</t>
        </is>
      </c>
      <c r="T162" s="2" t="inlineStr">
        <is>
          <t>IE.07.003.P30</t>
        </is>
      </c>
      <c r="U162" s="2" t="inlineStr">
        <is>
          <t>IE.07.003.P30</t>
        </is>
      </c>
    </row>
    <row r="163">
      <c r="A163" s="2" t="inlineStr">
        <is>
          <t>SAUDE OPERADORA</t>
        </is>
      </c>
      <c r="B163" s="2" t="inlineStr">
        <is>
          <t>APOR</t>
        </is>
      </c>
      <c r="C163" s="2" t="n">
        <v>409967</v>
      </c>
      <c r="D163" s="2" t="inlineStr">
        <is>
          <t>ANALISTA CIENCIAS DADOS SR</t>
        </is>
      </c>
      <c r="E163" s="2" t="n">
        <v>10</v>
      </c>
      <c r="F163" s="2" t="inlineStr">
        <is>
          <t>ATIVO</t>
        </is>
      </c>
      <c r="G163" s="2" t="inlineStr">
        <is>
          <t>Negócios &amp; operações</t>
        </is>
      </c>
      <c r="H163" s="2" t="inlineStr">
        <is>
          <t>Atuarial, modelagem e dados</t>
        </is>
      </c>
      <c r="I163" s="2" t="inlineStr">
        <is>
          <t>Ciência de Dados</t>
        </is>
      </c>
      <c r="J163" s="2" t="inlineStr">
        <is>
          <t>Analista</t>
        </is>
      </c>
      <c r="K163" s="2" t="inlineStr">
        <is>
          <t>Analista Sr</t>
        </is>
      </c>
      <c r="L163" s="2" t="n">
        <v>211120</v>
      </c>
      <c r="M163" s="2" t="inlineStr">
        <is>
          <t>Avaliação de tempos real</t>
        </is>
      </c>
      <c r="N163" s="2" t="inlineStr">
        <is>
          <t>Elegível</t>
        </is>
      </c>
      <c r="O163" s="2" t="inlineStr">
        <is>
          <t>NAO ELEGIVEL COTA  APRENDIZ</t>
        </is>
      </c>
      <c r="P163" s="2" t="inlineStr">
        <is>
          <t>CLT</t>
        </is>
      </c>
      <c r="Q163" s="2" t="inlineStr">
        <is>
          <t>Preponderante</t>
        </is>
      </c>
      <c r="R163" s="2" t="inlineStr">
        <is>
          <t>Saúde</t>
        </is>
      </c>
      <c r="S163"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63" s="2" t="inlineStr">
        <is>
          <t>IE.07.003.P30</t>
        </is>
      </c>
      <c r="U163" s="2" t="inlineStr">
        <is>
          <t>IE.07.003.P30</t>
        </is>
      </c>
    </row>
    <row r="164">
      <c r="A164" s="2" t="inlineStr">
        <is>
          <t>HOLDING</t>
        </is>
      </c>
      <c r="B164" s="2" t="inlineStr">
        <is>
          <t>HOLDING</t>
        </is>
      </c>
      <c r="C164" s="2" t="n">
        <v>6111338</v>
      </c>
      <c r="D164" s="2" t="inlineStr">
        <is>
          <t>ANALISTA PRIVACIDADE DADOS JR</t>
        </is>
      </c>
      <c r="E164" s="2" t="n">
        <v>5</v>
      </c>
      <c r="F164" s="2" t="inlineStr">
        <is>
          <t>ATIVO</t>
        </is>
      </c>
      <c r="G164" s="2" t="inlineStr">
        <is>
          <t>Corporativo</t>
        </is>
      </c>
      <c r="H164" s="2" t="inlineStr">
        <is>
          <t>Privacidade de dados</t>
        </is>
      </c>
      <c r="I164" s="2" t="inlineStr">
        <is>
          <t>Privacidade de dados</t>
        </is>
      </c>
      <c r="J164" s="2" t="inlineStr">
        <is>
          <t>Analista</t>
        </is>
      </c>
      <c r="K164" s="2" t="inlineStr">
        <is>
          <t>Analista Jr</t>
        </is>
      </c>
      <c r="L164" s="2" t="n">
        <v>142130</v>
      </c>
      <c r="M164" s="2" t="inlineStr">
        <is>
          <t>Avaliação de tempos real</t>
        </is>
      </c>
      <c r="N164" s="2" t="inlineStr">
        <is>
          <t>Elegível</t>
        </is>
      </c>
      <c r="O164" s="2" t="inlineStr">
        <is>
          <t>NAO ELEGIVEL COTA  APRENDIZ</t>
        </is>
      </c>
      <c r="P164" s="2" t="inlineStr">
        <is>
          <t>CLT</t>
        </is>
      </c>
      <c r="Q164" s="2" t="inlineStr">
        <is>
          <t>Preponderante</t>
        </is>
      </c>
      <c r="R164" s="2" t="inlineStr">
        <is>
          <t>Elementares</t>
        </is>
      </c>
      <c r="S164" s="2" t="inlineStr">
        <is>
          <t>Elaborar pareceres de contratos sob a ótica de Privacidade de dados, desenvolver normas, manuais, guias, cartilhas e conteudo de treinamento para governança e gestão de privacidade de dados pessoais do GBS</t>
        </is>
      </c>
      <c r="T164" s="2" t="inlineStr">
        <is>
          <t>IE.25.007.P10</t>
        </is>
      </c>
      <c r="U164" s="2" t="inlineStr">
        <is>
          <t>IE.25.007.P10</t>
        </is>
      </c>
    </row>
    <row r="165">
      <c r="A165" s="2" t="inlineStr">
        <is>
          <t>HOLDING</t>
        </is>
      </c>
      <c r="B165" s="2" t="inlineStr">
        <is>
          <t>HOLDING</t>
        </is>
      </c>
      <c r="C165" s="2" t="n">
        <v>6111339</v>
      </c>
      <c r="D165" s="2" t="inlineStr">
        <is>
          <t>ANALISTA PRIVACIDADE DADOS PL</t>
        </is>
      </c>
      <c r="E165" s="2" t="n">
        <v>7</v>
      </c>
      <c r="F165" s="2" t="inlineStr">
        <is>
          <t>ATIVO</t>
        </is>
      </c>
      <c r="G165" s="2" t="inlineStr">
        <is>
          <t>Corporativo</t>
        </is>
      </c>
      <c r="H165" s="2" t="inlineStr">
        <is>
          <t>Privacidade de dados</t>
        </is>
      </c>
      <c r="I165" s="2" t="inlineStr">
        <is>
          <t>Privacidade de dados</t>
        </is>
      </c>
      <c r="J165" s="2" t="inlineStr">
        <is>
          <t>Analista</t>
        </is>
      </c>
      <c r="K165" s="2" t="inlineStr">
        <is>
          <t>Analista Pl</t>
        </is>
      </c>
      <c r="L165" s="2" t="n">
        <v>142130</v>
      </c>
      <c r="M165" s="2" t="inlineStr">
        <is>
          <t>Avaliação de tempos real</t>
        </is>
      </c>
      <c r="N165" s="2" t="inlineStr">
        <is>
          <t>Elegível</t>
        </is>
      </c>
      <c r="O165" s="2" t="inlineStr">
        <is>
          <t>NAO ELEGIVEL COTA  APRENDIZ</t>
        </is>
      </c>
      <c r="P165" s="2" t="inlineStr">
        <is>
          <t>CLT</t>
        </is>
      </c>
      <c r="Q165" s="2" t="inlineStr">
        <is>
          <t>Preponderante</t>
        </is>
      </c>
      <c r="R165" s="2" t="inlineStr">
        <is>
          <t>Elementares</t>
        </is>
      </c>
      <c r="S165" s="2" t="inlineStr">
        <is>
          <t>Elaborar pareceres de contratos sob a ótica de Privacidade de dados, desenvolver normas, manuais, guias, cartilhas e conteudo de treinamento para governança e gestão de privacidade de dados pessoais do GBS</t>
        </is>
      </c>
      <c r="T165" s="2" t="inlineStr">
        <is>
          <t>IE.25.007.P20</t>
        </is>
      </c>
      <c r="U165" s="2" t="inlineStr">
        <is>
          <t>IE.25.007.P20</t>
        </is>
      </c>
    </row>
    <row r="166">
      <c r="A166" s="2" t="inlineStr">
        <is>
          <t>HOLDING</t>
        </is>
      </c>
      <c r="B166" s="2" t="inlineStr">
        <is>
          <t>HOLDING</t>
        </is>
      </c>
      <c r="C166" s="2" t="n">
        <v>6111340</v>
      </c>
      <c r="D166" s="2" t="inlineStr">
        <is>
          <t>ANALISTA PRIVACIDADE DADOS SR</t>
        </is>
      </c>
      <c r="E166" s="2" t="n">
        <v>9</v>
      </c>
      <c r="F166" s="2" t="inlineStr">
        <is>
          <t>ATIVO</t>
        </is>
      </c>
      <c r="G166" s="2" t="inlineStr">
        <is>
          <t>Corporativo</t>
        </is>
      </c>
      <c r="H166" s="2" t="inlineStr">
        <is>
          <t>Privacidade de dados</t>
        </is>
      </c>
      <c r="I166" s="2" t="inlineStr">
        <is>
          <t>Privacidade de dados</t>
        </is>
      </c>
      <c r="J166" s="2" t="inlineStr">
        <is>
          <t>Analista</t>
        </is>
      </c>
      <c r="K166" s="2" t="inlineStr">
        <is>
          <t>Analista Sr</t>
        </is>
      </c>
      <c r="L166" s="2" t="n">
        <v>142130</v>
      </c>
      <c r="M166" s="2" t="inlineStr">
        <is>
          <t>Avaliação de tempos real</t>
        </is>
      </c>
      <c r="N166" s="2" t="inlineStr">
        <is>
          <t>Elegível</t>
        </is>
      </c>
      <c r="O166" s="2" t="inlineStr">
        <is>
          <t>NAO ELEGIVEL COTA  APRENDIZ</t>
        </is>
      </c>
      <c r="P166" s="2" t="inlineStr">
        <is>
          <t>CLT</t>
        </is>
      </c>
      <c r="Q166" s="2" t="inlineStr">
        <is>
          <t>Preponderante</t>
        </is>
      </c>
      <c r="R166" s="2" t="inlineStr">
        <is>
          <t>Elementares</t>
        </is>
      </c>
      <c r="S166" s="2" t="inlineStr">
        <is>
          <t>Elaborar pareceres de contratos sob a ótica de Privacidade de dados, desenvolver normas, manuais, guias, cartilhas e conteudo de treinamento para governança e gestão de privacidade de dados pessoais do GBS</t>
        </is>
      </c>
      <c r="T166" s="2" t="inlineStr">
        <is>
          <t>IE.25.007.P30</t>
        </is>
      </c>
      <c r="U166" s="2" t="inlineStr">
        <is>
          <t>IE.25.007.P30</t>
        </is>
      </c>
    </row>
    <row r="167">
      <c r="A167" s="2" t="inlineStr">
        <is>
          <t>AFFINITY</t>
        </is>
      </c>
      <c r="B167" s="2" t="inlineStr">
        <is>
          <t>BSP AFFINITY</t>
        </is>
      </c>
      <c r="C167" s="2" t="n">
        <v>10015884</v>
      </c>
      <c r="D167" s="2" t="inlineStr">
        <is>
          <t>CIENTISTA DADOS I</t>
        </is>
      </c>
      <c r="E167" s="2" t="n">
        <v>11</v>
      </c>
      <c r="F167" s="2" t="inlineStr">
        <is>
          <t>ATIVO</t>
        </is>
      </c>
      <c r="G167" s="2" t="inlineStr">
        <is>
          <t>Negócios &amp; operações</t>
        </is>
      </c>
      <c r="H167" s="2" t="inlineStr">
        <is>
          <t>Atuarial, modelagem e dados</t>
        </is>
      </c>
      <c r="I167" s="2" t="inlineStr">
        <is>
          <t>Ciência de Dados</t>
        </is>
      </c>
      <c r="J167" s="2" t="inlineStr">
        <is>
          <t>Especialista</t>
        </is>
      </c>
      <c r="K167" s="2" t="inlineStr">
        <is>
          <t>Consultor</t>
        </is>
      </c>
      <c r="L167" s="2" t="n">
        <v>211120</v>
      </c>
      <c r="M167" s="2" t="inlineStr">
        <is>
          <t>Avaliação de tempos real</t>
        </is>
      </c>
      <c r="N167" s="2" t="inlineStr">
        <is>
          <t>Elegível</t>
        </is>
      </c>
      <c r="O167" s="2" t="inlineStr">
        <is>
          <t>NAO ELEGIVEL COTA  APRENDIZ</t>
        </is>
      </c>
      <c r="P167" s="2" t="inlineStr">
        <is>
          <t>CLT</t>
        </is>
      </c>
      <c r="Q167" s="2" t="inlineStr">
        <is>
          <t>Preponderante</t>
        </is>
      </c>
      <c r="R167" s="2" t="inlineStr">
        <is>
          <t>Affinity</t>
        </is>
      </c>
      <c r="S167"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67" s="2" t="inlineStr">
        <is>
          <t>IE.07.003.P40</t>
        </is>
      </c>
      <c r="U167" s="2" t="inlineStr">
        <is>
          <t>IE.07.003.P40</t>
        </is>
      </c>
    </row>
    <row r="168">
      <c r="A168" s="2" t="inlineStr">
        <is>
          <t>BSP</t>
        </is>
      </c>
      <c r="B168" s="2" t="inlineStr">
        <is>
          <t>IMOBILIARIA</t>
        </is>
      </c>
      <c r="C168" s="2" t="n">
        <v>10615884</v>
      </c>
      <c r="D168" s="2" t="inlineStr">
        <is>
          <t>CIENTISTA DADOS I</t>
        </is>
      </c>
      <c r="E168" s="2" t="n">
        <v>11</v>
      </c>
      <c r="F168" s="2" t="inlineStr">
        <is>
          <t>ATIVO</t>
        </is>
      </c>
      <c r="G168" s="2" t="inlineStr">
        <is>
          <t>Negócios &amp; operações</t>
        </is>
      </c>
      <c r="H168" s="2" t="inlineStr">
        <is>
          <t>Atuarial, modelagem e dados</t>
        </is>
      </c>
      <c r="I168" s="2" t="inlineStr">
        <is>
          <t>Ciência de Dados</t>
        </is>
      </c>
      <c r="J168" s="2" t="inlineStr">
        <is>
          <t>Especialista</t>
        </is>
      </c>
      <c r="K168" s="2" t="inlineStr">
        <is>
          <t>Consultor</t>
        </is>
      </c>
      <c r="L168" s="2" t="n">
        <v>211120</v>
      </c>
      <c r="M168" s="2" t="inlineStr">
        <is>
          <t>Avaliação de tempos real</t>
        </is>
      </c>
      <c r="N168" s="2" t="inlineStr">
        <is>
          <t>Elegível</t>
        </is>
      </c>
      <c r="O168" s="2" t="inlineStr">
        <is>
          <t>NAO ELEGIVEL COTA  APRENDIZ</t>
        </is>
      </c>
      <c r="P168" s="2" t="inlineStr">
        <is>
          <t>CLT</t>
        </is>
      </c>
      <c r="Q168" s="2" t="inlineStr">
        <is>
          <t>Preponderante</t>
        </is>
      </c>
      <c r="R168" s="2" t="inlineStr">
        <is>
          <t>Empreendimentos</t>
        </is>
      </c>
      <c r="S168"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68" s="2" t="inlineStr">
        <is>
          <t>IE.07.003.P40</t>
        </is>
      </c>
      <c r="U168" s="2" t="inlineStr">
        <is>
          <t>IE.07.003.P40</t>
        </is>
      </c>
    </row>
    <row r="169">
      <c r="A169" s="2" t="inlineStr">
        <is>
          <t>BVP</t>
        </is>
      </c>
      <c r="B169" s="2" t="inlineStr">
        <is>
          <t>PREVIDENCIA</t>
        </is>
      </c>
      <c r="C169" s="2" t="n">
        <v>3415884</v>
      </c>
      <c r="D169" s="2" t="inlineStr">
        <is>
          <t>CIENTISTA DADOS I</t>
        </is>
      </c>
      <c r="E169" s="2" t="n">
        <v>11</v>
      </c>
      <c r="F169" s="2" t="inlineStr">
        <is>
          <t>ATIVO</t>
        </is>
      </c>
      <c r="G169" s="2" t="inlineStr">
        <is>
          <t>Negócios &amp; operações</t>
        </is>
      </c>
      <c r="H169" s="2" t="inlineStr">
        <is>
          <t>Atuarial, modelagem e dados</t>
        </is>
      </c>
      <c r="I169" s="2" t="inlineStr">
        <is>
          <t>Ciência de Dados</t>
        </is>
      </c>
      <c r="J169" s="2" t="inlineStr">
        <is>
          <t>Especialista</t>
        </is>
      </c>
      <c r="K169" s="2" t="inlineStr">
        <is>
          <t>Consultor</t>
        </is>
      </c>
      <c r="L169" s="2" t="n">
        <v>211120</v>
      </c>
      <c r="M169" s="2" t="inlineStr">
        <is>
          <t>Avaliação de tempos real</t>
        </is>
      </c>
      <c r="N169" s="2" t="inlineStr">
        <is>
          <t>Elegível</t>
        </is>
      </c>
      <c r="O169" s="2" t="inlineStr">
        <is>
          <t>NAO ELEGIVEL COTA  APRENDIZ</t>
        </is>
      </c>
      <c r="P169" s="2" t="inlineStr">
        <is>
          <t>CLT</t>
        </is>
      </c>
      <c r="Q169" s="2" t="inlineStr">
        <is>
          <t>Preponderante</t>
        </is>
      </c>
      <c r="R169" s="2" t="inlineStr">
        <is>
          <t>Vida e Previdência</t>
        </is>
      </c>
      <c r="S169"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69" s="2" t="inlineStr">
        <is>
          <t>IE.07.003.P40</t>
        </is>
      </c>
      <c r="U169" s="2" t="inlineStr">
        <is>
          <t>IE.07.003.P40</t>
        </is>
      </c>
    </row>
    <row r="170">
      <c r="A170" s="2" t="inlineStr">
        <is>
          <t>CAP</t>
        </is>
      </c>
      <c r="B170" s="2" t="inlineStr">
        <is>
          <t>CAPITALIZ</t>
        </is>
      </c>
      <c r="C170" s="2" t="n">
        <v>7315884</v>
      </c>
      <c r="D170" s="2" t="inlineStr">
        <is>
          <t>CIENTISTA DADOS I</t>
        </is>
      </c>
      <c r="E170" s="2" t="n">
        <v>11</v>
      </c>
      <c r="F170" s="2" t="inlineStr">
        <is>
          <t>ATIVO</t>
        </is>
      </c>
      <c r="G170" s="2" t="inlineStr">
        <is>
          <t>Negócios &amp; operações</t>
        </is>
      </c>
      <c r="H170" s="2" t="inlineStr">
        <is>
          <t>Atuarial, modelagem e dados</t>
        </is>
      </c>
      <c r="I170" s="2" t="inlineStr">
        <is>
          <t>Ciência de Dados</t>
        </is>
      </c>
      <c r="J170" s="2" t="inlineStr">
        <is>
          <t>Especialista</t>
        </is>
      </c>
      <c r="K170" s="2" t="inlineStr">
        <is>
          <t>Consultor</t>
        </is>
      </c>
      <c r="L170" s="2" t="n">
        <v>211120</v>
      </c>
      <c r="M170" s="2" t="inlineStr">
        <is>
          <t>Avaliação de tempos real</t>
        </is>
      </c>
      <c r="N170" s="2" t="inlineStr">
        <is>
          <t>Elegível</t>
        </is>
      </c>
      <c r="O170" s="2" t="inlineStr">
        <is>
          <t>NAO ELEGIVEL COTA  APRENDIZ</t>
        </is>
      </c>
      <c r="P170" s="2" t="inlineStr">
        <is>
          <t>CLT</t>
        </is>
      </c>
      <c r="Q170" s="2" t="inlineStr">
        <is>
          <t>Preponderante</t>
        </is>
      </c>
      <c r="R170" s="2" t="inlineStr">
        <is>
          <t>Vida e Previdência</t>
        </is>
      </c>
      <c r="S170"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0" s="2" t="inlineStr">
        <is>
          <t>IE.07.003.P40</t>
        </is>
      </c>
      <c r="U170" s="2" t="inlineStr">
        <is>
          <t>IE.07.003.P40</t>
        </is>
      </c>
    </row>
    <row r="171">
      <c r="A171" s="2" t="inlineStr">
        <is>
          <t>BARE</t>
        </is>
      </c>
      <c r="B171" s="2" t="inlineStr">
        <is>
          <t>AUTO RE SEG</t>
        </is>
      </c>
      <c r="C171" s="2" t="n">
        <v>7515884</v>
      </c>
      <c r="D171" s="2" t="inlineStr">
        <is>
          <t>CIENTISTA DADOS I</t>
        </is>
      </c>
      <c r="E171" s="2" t="n">
        <v>11</v>
      </c>
      <c r="F171" s="2" t="inlineStr">
        <is>
          <t>ATIVO</t>
        </is>
      </c>
      <c r="G171" s="2" t="inlineStr">
        <is>
          <t>Negócios &amp; operações</t>
        </is>
      </c>
      <c r="H171" s="2" t="inlineStr">
        <is>
          <t>Atuarial, modelagem e dados</t>
        </is>
      </c>
      <c r="I171" s="2" t="inlineStr">
        <is>
          <t>Ciência de Dados</t>
        </is>
      </c>
      <c r="J171" s="2" t="inlineStr">
        <is>
          <t>Especialista</t>
        </is>
      </c>
      <c r="K171" s="2" t="inlineStr">
        <is>
          <t>Consultor</t>
        </is>
      </c>
      <c r="L171" s="2" t="n">
        <v>211120</v>
      </c>
      <c r="M171" s="2" t="inlineStr">
        <is>
          <t>Avaliação de tempos real</t>
        </is>
      </c>
      <c r="N171" s="2" t="inlineStr">
        <is>
          <t>Elegível</t>
        </is>
      </c>
      <c r="O171" s="2" t="inlineStr">
        <is>
          <t>NAO ELEGIVEL COTA  APRENDIZ</t>
        </is>
      </c>
      <c r="P171" s="2" t="inlineStr">
        <is>
          <t>CLT</t>
        </is>
      </c>
      <c r="Q171" s="2" t="inlineStr">
        <is>
          <t>Preponderante</t>
        </is>
      </c>
      <c r="R171" s="2" t="inlineStr">
        <is>
          <t>Elementares</t>
        </is>
      </c>
      <c r="S171"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1" s="2" t="inlineStr">
        <is>
          <t>IE.07.003.P40</t>
        </is>
      </c>
      <c r="U171" s="2" t="inlineStr">
        <is>
          <t>IE.07.003.P40</t>
        </is>
      </c>
    </row>
    <row r="172">
      <c r="A172" s="2" t="inlineStr">
        <is>
          <t>HOLDING</t>
        </is>
      </c>
      <c r="B172" s="2" t="inlineStr">
        <is>
          <t>HOLDING</t>
        </is>
      </c>
      <c r="C172" s="2" t="n">
        <v>6115884</v>
      </c>
      <c r="D172" s="2" t="inlineStr">
        <is>
          <t>CIENTISTA DADOS I</t>
        </is>
      </c>
      <c r="E172" s="2" t="n">
        <v>11</v>
      </c>
      <c r="F172" s="2" t="inlineStr">
        <is>
          <t>ATIVO</t>
        </is>
      </c>
      <c r="G172" s="2" t="inlineStr">
        <is>
          <t>Negócios &amp; operações</t>
        </is>
      </c>
      <c r="H172" s="2" t="inlineStr">
        <is>
          <t>Atuarial, modelagem e dados</t>
        </is>
      </c>
      <c r="I172" s="2" t="inlineStr">
        <is>
          <t>Ciência de Dados</t>
        </is>
      </c>
      <c r="J172" s="2" t="inlineStr">
        <is>
          <t>Especialista</t>
        </is>
      </c>
      <c r="K172" s="2" t="inlineStr">
        <is>
          <t>Consultor</t>
        </is>
      </c>
      <c r="L172" s="2" t="n">
        <v>211120</v>
      </c>
      <c r="M172" s="2" t="inlineStr">
        <is>
          <t>Avaliação de tempos real</t>
        </is>
      </c>
      <c r="N172" s="2" t="inlineStr">
        <is>
          <t>Elegível</t>
        </is>
      </c>
      <c r="O172" s="2" t="inlineStr">
        <is>
          <t>NAO ELEGIVEL COTA  APRENDIZ</t>
        </is>
      </c>
      <c r="P172" s="2" t="inlineStr">
        <is>
          <t>CLT</t>
        </is>
      </c>
      <c r="Q172" s="2" t="inlineStr">
        <is>
          <t>Preponderante</t>
        </is>
      </c>
      <c r="R172" s="2" t="inlineStr">
        <is>
          <t>Elementares</t>
        </is>
      </c>
      <c r="S172"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2" s="2" t="inlineStr">
        <is>
          <t>IE.07.003.P40</t>
        </is>
      </c>
      <c r="U172" s="2" t="inlineStr">
        <is>
          <t>IE.07.003.P40</t>
        </is>
      </c>
    </row>
    <row r="173">
      <c r="A173" s="2" t="inlineStr">
        <is>
          <t>NOVAMED</t>
        </is>
      </c>
      <c r="B173" s="2" t="inlineStr">
        <is>
          <t>NOVAMED</t>
        </is>
      </c>
      <c r="C173" s="2" t="n">
        <v>11615884</v>
      </c>
      <c r="D173" s="2" t="inlineStr">
        <is>
          <t>CIENTISTA DADOS I</t>
        </is>
      </c>
      <c r="E173" s="2" t="n">
        <v>11</v>
      </c>
      <c r="F173" s="2" t="inlineStr">
        <is>
          <t>ATIVO</t>
        </is>
      </c>
      <c r="G173" s="2" t="inlineStr">
        <is>
          <t>Negócios &amp; operações</t>
        </is>
      </c>
      <c r="H173" s="2" t="inlineStr">
        <is>
          <t>Atuarial, modelagem e dados</t>
        </is>
      </c>
      <c r="I173" s="2" t="inlineStr">
        <is>
          <t>Ciência de Dados</t>
        </is>
      </c>
      <c r="J173" s="2" t="inlineStr">
        <is>
          <t>Especialista</t>
        </is>
      </c>
      <c r="K173" s="2" t="inlineStr">
        <is>
          <t>Consultor</t>
        </is>
      </c>
      <c r="L173" s="2" t="n">
        <v>211120</v>
      </c>
      <c r="M173" s="2" t="inlineStr">
        <is>
          <t>Avaliação de tempos real</t>
        </is>
      </c>
      <c r="N173" s="2" t="inlineStr">
        <is>
          <t>Elegível</t>
        </is>
      </c>
      <c r="O173" s="2" t="inlineStr">
        <is>
          <t>NAO ELEGIVEL COTA  APRENDIZ</t>
        </is>
      </c>
      <c r="P173" s="2" t="inlineStr">
        <is>
          <t>CLT</t>
        </is>
      </c>
      <c r="Q173" s="2" t="inlineStr">
        <is>
          <t>Preponderante</t>
        </is>
      </c>
      <c r="R173" s="2" t="inlineStr">
        <is>
          <t>Saúde</t>
        </is>
      </c>
      <c r="S173"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3" s="2" t="inlineStr">
        <is>
          <t>IE.07.003.P40</t>
        </is>
      </c>
      <c r="U173" s="2" t="inlineStr">
        <is>
          <t>IE.07.003.P40</t>
        </is>
      </c>
    </row>
    <row r="174">
      <c r="A174" s="2" t="inlineStr">
        <is>
          <t>SAUDE</t>
        </is>
      </c>
      <c r="B174" s="2" t="inlineStr">
        <is>
          <t>SAUDE</t>
        </is>
      </c>
      <c r="C174" s="2" t="n">
        <v>6315884</v>
      </c>
      <c r="D174" s="2" t="inlineStr">
        <is>
          <t>CIENTISTA DADOS I</t>
        </is>
      </c>
      <c r="E174" s="2" t="n">
        <v>11</v>
      </c>
      <c r="F174" s="2" t="inlineStr">
        <is>
          <t>ATIVO</t>
        </is>
      </c>
      <c r="G174" s="2" t="inlineStr">
        <is>
          <t>Negócios &amp; operações</t>
        </is>
      </c>
      <c r="H174" s="2" t="inlineStr">
        <is>
          <t>Atuarial, modelagem e dados</t>
        </is>
      </c>
      <c r="I174" s="2" t="inlineStr">
        <is>
          <t>Ciência de Dados</t>
        </is>
      </c>
      <c r="J174" s="2" t="inlineStr">
        <is>
          <t>Especialista</t>
        </is>
      </c>
      <c r="K174" s="2" t="inlineStr">
        <is>
          <t>Consultor</t>
        </is>
      </c>
      <c r="L174" s="2" t="n">
        <v>211120</v>
      </c>
      <c r="M174" s="2" t="inlineStr">
        <is>
          <t>Avaliação de tempos real</t>
        </is>
      </c>
      <c r="N174" s="2" t="inlineStr">
        <is>
          <t>Elegível</t>
        </is>
      </c>
      <c r="O174" s="2" t="inlineStr">
        <is>
          <t>NAO ELEGIVEL COTA  APRENDIZ</t>
        </is>
      </c>
      <c r="P174" s="2" t="inlineStr">
        <is>
          <t>CLT</t>
        </is>
      </c>
      <c r="Q174" s="2" t="inlineStr">
        <is>
          <t>Preponderante</t>
        </is>
      </c>
      <c r="R174" s="2" t="inlineStr">
        <is>
          <t>Saúde</t>
        </is>
      </c>
      <c r="S174"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4" s="2" t="inlineStr">
        <is>
          <t>IE.07.003.P40</t>
        </is>
      </c>
      <c r="U174" s="2" t="inlineStr">
        <is>
          <t>IE.07.003.P40</t>
        </is>
      </c>
    </row>
    <row r="175">
      <c r="A175" s="2" t="inlineStr">
        <is>
          <t>SAUDE OPERADORA</t>
        </is>
      </c>
      <c r="B175" s="2" t="inlineStr">
        <is>
          <t>APOR</t>
        </is>
      </c>
      <c r="C175" s="2" t="n">
        <v>415884</v>
      </c>
      <c r="D175" s="2" t="inlineStr">
        <is>
          <t>CIENTISTA DADOS I</t>
        </is>
      </c>
      <c r="E175" s="2" t="n">
        <v>11</v>
      </c>
      <c r="F175" s="2" t="inlineStr">
        <is>
          <t>ATIVO</t>
        </is>
      </c>
      <c r="G175" s="2" t="inlineStr">
        <is>
          <t>Negócios &amp; operações</t>
        </is>
      </c>
      <c r="H175" s="2" t="inlineStr">
        <is>
          <t>Atuarial, modelagem e dados</t>
        </is>
      </c>
      <c r="I175" s="2" t="inlineStr">
        <is>
          <t>Ciência de Dados</t>
        </is>
      </c>
      <c r="J175" s="2" t="inlineStr">
        <is>
          <t>Especialista</t>
        </is>
      </c>
      <c r="K175" s="2" t="inlineStr">
        <is>
          <t>Consultor</t>
        </is>
      </c>
      <c r="L175" s="2" t="n">
        <v>211120</v>
      </c>
      <c r="M175" s="2" t="inlineStr">
        <is>
          <t>Avaliação de tempos real</t>
        </is>
      </c>
      <c r="N175" s="2" t="inlineStr">
        <is>
          <t>Elegível</t>
        </is>
      </c>
      <c r="O175" s="2" t="inlineStr">
        <is>
          <t>NAO ELEGIVEL COTA  APRENDIZ</t>
        </is>
      </c>
      <c r="P175" s="2" t="inlineStr">
        <is>
          <t>CLT</t>
        </is>
      </c>
      <c r="Q175" s="2" t="inlineStr">
        <is>
          <t>Preponderante</t>
        </is>
      </c>
      <c r="R175" s="2" t="inlineStr">
        <is>
          <t>Saúde</t>
        </is>
      </c>
      <c r="S175"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5" s="2" t="inlineStr">
        <is>
          <t>IE.07.003.P40</t>
        </is>
      </c>
      <c r="U175" s="2" t="inlineStr">
        <is>
          <t>IE.07.003.P40</t>
        </is>
      </c>
    </row>
    <row r="176">
      <c r="A176" s="2" t="inlineStr">
        <is>
          <t>BARE</t>
        </is>
      </c>
      <c r="B176" s="2" t="inlineStr">
        <is>
          <t>AUTO RE SEG</t>
        </is>
      </c>
      <c r="C176" s="2" t="n">
        <v>7515885</v>
      </c>
      <c r="D176" s="2" t="inlineStr">
        <is>
          <t>CIENTISTA DADOS II</t>
        </is>
      </c>
      <c r="E176" s="2" t="n">
        <v>12</v>
      </c>
      <c r="F176" s="2" t="inlineStr">
        <is>
          <t>ATIVO</t>
        </is>
      </c>
      <c r="G176" s="2" t="inlineStr">
        <is>
          <t>Negócios &amp; operações</t>
        </is>
      </c>
      <c r="H176" s="2" t="inlineStr">
        <is>
          <t>Atuarial, modelagem e dados</t>
        </is>
      </c>
      <c r="I176" s="2" t="inlineStr">
        <is>
          <t>Ciência de Dados</t>
        </is>
      </c>
      <c r="J176" s="2" t="inlineStr">
        <is>
          <t>Especialista</t>
        </is>
      </c>
      <c r="K176" s="2" t="inlineStr">
        <is>
          <t>Especialista</t>
        </is>
      </c>
      <c r="L176" s="2" t="n">
        <v>211120</v>
      </c>
      <c r="M176" s="2" t="inlineStr">
        <is>
          <t>Avaliação de tempos teórica</t>
        </is>
      </c>
      <c r="N176" s="2" t="inlineStr">
        <is>
          <t>Não elegível</t>
        </is>
      </c>
      <c r="O176" s="2" t="inlineStr">
        <is>
          <t>NAO ELEGIVEL COTA  APRENDIZ</t>
        </is>
      </c>
      <c r="P176" s="2" t="inlineStr">
        <is>
          <t>CLT</t>
        </is>
      </c>
      <c r="Q176" s="2" t="inlineStr">
        <is>
          <t>Preponderante</t>
        </is>
      </c>
      <c r="R176" s="2" t="inlineStr">
        <is>
          <t>Elementares</t>
        </is>
      </c>
      <c r="S176"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6" s="2" t="inlineStr">
        <is>
          <t>IE.07.003.P50</t>
        </is>
      </c>
      <c r="U176" s="2" t="inlineStr">
        <is>
          <t>IE.07.003.P50</t>
        </is>
      </c>
    </row>
    <row r="177">
      <c r="A177" s="2" t="inlineStr">
        <is>
          <t>AFFINITY</t>
        </is>
      </c>
      <c r="B177" s="2" t="inlineStr">
        <is>
          <t>BSP AFFINITY</t>
        </is>
      </c>
      <c r="C177" s="2" t="n">
        <v>10015885</v>
      </c>
      <c r="D177" s="2" t="inlineStr">
        <is>
          <t>CIENTISTA DADOS II</t>
        </is>
      </c>
      <c r="E177" s="2" t="n">
        <v>12</v>
      </c>
      <c r="F177" s="2" t="inlineStr">
        <is>
          <t>ATIVO</t>
        </is>
      </c>
      <c r="G177" s="2" t="inlineStr">
        <is>
          <t>Negócios &amp; operações</t>
        </is>
      </c>
      <c r="H177" s="2" t="inlineStr">
        <is>
          <t>Atuarial, modelagem e dados</t>
        </is>
      </c>
      <c r="I177" s="2" t="inlineStr">
        <is>
          <t>Ciência de Dados</t>
        </is>
      </c>
      <c r="J177" s="2" t="inlineStr">
        <is>
          <t>Especialista</t>
        </is>
      </c>
      <c r="K177" s="2" t="inlineStr">
        <is>
          <t>Especialista</t>
        </is>
      </c>
      <c r="L177" s="2" t="n">
        <v>211120</v>
      </c>
      <c r="M177" s="2" t="inlineStr">
        <is>
          <t>Avaliação de tempos teórica</t>
        </is>
      </c>
      <c r="N177" s="2" t="inlineStr">
        <is>
          <t>Não elegível</t>
        </is>
      </c>
      <c r="O177" s="2" t="inlineStr">
        <is>
          <t>NAO ELEGIVEL COTA  APRENDIZ</t>
        </is>
      </c>
      <c r="P177" s="2" t="inlineStr">
        <is>
          <t>CLT</t>
        </is>
      </c>
      <c r="Q177" s="2" t="inlineStr">
        <is>
          <t>Preponderante</t>
        </is>
      </c>
      <c r="R177" s="2" t="inlineStr">
        <is>
          <t>Affinity</t>
        </is>
      </c>
      <c r="S177"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7" s="2" t="inlineStr">
        <is>
          <t>IE.07.003.P50</t>
        </is>
      </c>
      <c r="U177" s="2" t="inlineStr">
        <is>
          <t>IE.07.003.P50</t>
        </is>
      </c>
    </row>
    <row r="178">
      <c r="A178" s="2" t="inlineStr">
        <is>
          <t>BSP</t>
        </is>
      </c>
      <c r="B178" s="2" t="inlineStr">
        <is>
          <t>IMOBILIARIA</t>
        </is>
      </c>
      <c r="C178" s="2" t="n">
        <v>10615885</v>
      </c>
      <c r="D178" s="2" t="inlineStr">
        <is>
          <t>CIENTISTA DADOS II</t>
        </is>
      </c>
      <c r="E178" s="2" t="n">
        <v>12</v>
      </c>
      <c r="F178" s="2" t="inlineStr">
        <is>
          <t>ATIVO</t>
        </is>
      </c>
      <c r="G178" s="2" t="inlineStr">
        <is>
          <t>Negócios &amp; operações</t>
        </is>
      </c>
      <c r="H178" s="2" t="inlineStr">
        <is>
          <t>Atuarial, modelagem e dados</t>
        </is>
      </c>
      <c r="I178" s="2" t="inlineStr">
        <is>
          <t>Ciência de Dados</t>
        </is>
      </c>
      <c r="J178" s="2" t="inlineStr">
        <is>
          <t>Especialista</t>
        </is>
      </c>
      <c r="K178" s="2" t="inlineStr">
        <is>
          <t>Especialista</t>
        </is>
      </c>
      <c r="L178" s="2" t="n">
        <v>211120</v>
      </c>
      <c r="M178" s="2" t="inlineStr">
        <is>
          <t>Avaliação de tempos teórica</t>
        </is>
      </c>
      <c r="N178" s="2" t="inlineStr">
        <is>
          <t>Não elegível</t>
        </is>
      </c>
      <c r="O178" s="2" t="inlineStr">
        <is>
          <t>NAO ELEGIVEL COTA  APRENDIZ</t>
        </is>
      </c>
      <c r="P178" s="2" t="inlineStr">
        <is>
          <t>CLT</t>
        </is>
      </c>
      <c r="Q178" s="2" t="inlineStr">
        <is>
          <t>Preponderante</t>
        </is>
      </c>
      <c r="R178" s="2" t="inlineStr">
        <is>
          <t>Empreendimentos</t>
        </is>
      </c>
      <c r="S178"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8" s="2" t="inlineStr">
        <is>
          <t>IE.07.003.P50</t>
        </is>
      </c>
      <c r="U178" s="2" t="inlineStr">
        <is>
          <t>IE.07.003.P50</t>
        </is>
      </c>
    </row>
    <row r="179">
      <c r="A179" s="2" t="inlineStr">
        <is>
          <t>BVP</t>
        </is>
      </c>
      <c r="B179" s="2" t="inlineStr">
        <is>
          <t>PREVIDENCIA</t>
        </is>
      </c>
      <c r="C179" s="2" t="n">
        <v>3415885</v>
      </c>
      <c r="D179" s="2" t="inlineStr">
        <is>
          <t>CIENTISTA DADOS II</t>
        </is>
      </c>
      <c r="E179" s="2" t="n">
        <v>12</v>
      </c>
      <c r="F179" s="2" t="inlineStr">
        <is>
          <t>ATIVO</t>
        </is>
      </c>
      <c r="G179" s="2" t="inlineStr">
        <is>
          <t>Negócios &amp; operações</t>
        </is>
      </c>
      <c r="H179" s="2" t="inlineStr">
        <is>
          <t>Atuarial, modelagem e dados</t>
        </is>
      </c>
      <c r="I179" s="2" t="inlineStr">
        <is>
          <t>Ciência de Dados</t>
        </is>
      </c>
      <c r="J179" s="2" t="inlineStr">
        <is>
          <t>Especialista</t>
        </is>
      </c>
      <c r="K179" s="2" t="inlineStr">
        <is>
          <t>Especialista</t>
        </is>
      </c>
      <c r="L179" s="2" t="n">
        <v>211120</v>
      </c>
      <c r="M179" s="2" t="inlineStr">
        <is>
          <t>Avaliação de tempos teórica</t>
        </is>
      </c>
      <c r="N179" s="2" t="inlineStr">
        <is>
          <t>Não elegível</t>
        </is>
      </c>
      <c r="O179" s="2" t="inlineStr">
        <is>
          <t>NAO ELEGIVEL COTA  APRENDIZ</t>
        </is>
      </c>
      <c r="P179" s="2" t="inlineStr">
        <is>
          <t>CLT</t>
        </is>
      </c>
      <c r="Q179" s="2" t="inlineStr">
        <is>
          <t>Preponderante</t>
        </is>
      </c>
      <c r="R179" s="2" t="inlineStr">
        <is>
          <t>Vida e Previdência</t>
        </is>
      </c>
      <c r="S179"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79" s="2" t="inlineStr">
        <is>
          <t>IE.07.003.P50</t>
        </is>
      </c>
      <c r="U179" s="2" t="inlineStr">
        <is>
          <t>IE.07.003.P50</t>
        </is>
      </c>
    </row>
    <row r="180">
      <c r="A180" s="2" t="inlineStr">
        <is>
          <t>CAP</t>
        </is>
      </c>
      <c r="B180" s="2" t="inlineStr">
        <is>
          <t>CAPITALIZ</t>
        </is>
      </c>
      <c r="C180" s="2" t="n">
        <v>7315885</v>
      </c>
      <c r="D180" s="2" t="inlineStr">
        <is>
          <t>CIENTISTA DADOS II</t>
        </is>
      </c>
      <c r="E180" s="2" t="n">
        <v>12</v>
      </c>
      <c r="F180" s="2" t="inlineStr">
        <is>
          <t>ATIVO</t>
        </is>
      </c>
      <c r="G180" s="2" t="inlineStr">
        <is>
          <t>Negócios &amp; operações</t>
        </is>
      </c>
      <c r="H180" s="2" t="inlineStr">
        <is>
          <t>Atuarial, modelagem e dados</t>
        </is>
      </c>
      <c r="I180" s="2" t="inlineStr">
        <is>
          <t>Ciência de Dados</t>
        </is>
      </c>
      <c r="J180" s="2" t="inlineStr">
        <is>
          <t>Especialista</t>
        </is>
      </c>
      <c r="K180" s="2" t="inlineStr">
        <is>
          <t>Especialista</t>
        </is>
      </c>
      <c r="L180" s="2" t="n">
        <v>211120</v>
      </c>
      <c r="M180" s="2" t="inlineStr">
        <is>
          <t>Avaliação de tempos teórica</t>
        </is>
      </c>
      <c r="N180" s="2" t="inlineStr">
        <is>
          <t>Não elegível</t>
        </is>
      </c>
      <c r="O180" s="2" t="inlineStr">
        <is>
          <t>NAO ELEGIVEL COTA  APRENDIZ</t>
        </is>
      </c>
      <c r="P180" s="2" t="inlineStr">
        <is>
          <t>CLT</t>
        </is>
      </c>
      <c r="Q180" s="2" t="inlineStr">
        <is>
          <t>Preponderante</t>
        </is>
      </c>
      <c r="R180" s="2" t="inlineStr">
        <is>
          <t>Vida e Previdência</t>
        </is>
      </c>
      <c r="S180"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80" s="2" t="inlineStr">
        <is>
          <t>IE.07.003.P50</t>
        </is>
      </c>
      <c r="U180" s="2" t="inlineStr">
        <is>
          <t>IE.07.003.P50</t>
        </is>
      </c>
    </row>
    <row r="181">
      <c r="A181" s="2" t="inlineStr">
        <is>
          <t>HOLDING</t>
        </is>
      </c>
      <c r="B181" s="2" t="inlineStr">
        <is>
          <t>HOLDING</t>
        </is>
      </c>
      <c r="C181" s="2" t="n">
        <v>6115885</v>
      </c>
      <c r="D181" s="2" t="inlineStr">
        <is>
          <t>CIENTISTA DADOS II</t>
        </is>
      </c>
      <c r="E181" s="2" t="n">
        <v>12</v>
      </c>
      <c r="F181" s="2" t="inlineStr">
        <is>
          <t>ATIVO</t>
        </is>
      </c>
      <c r="G181" s="2" t="inlineStr">
        <is>
          <t>Negócios &amp; operações</t>
        </is>
      </c>
      <c r="H181" s="2" t="inlineStr">
        <is>
          <t>Atuarial, modelagem e dados</t>
        </is>
      </c>
      <c r="I181" s="2" t="inlineStr">
        <is>
          <t>Ciência de Dados</t>
        </is>
      </c>
      <c r="J181" s="2" t="inlineStr">
        <is>
          <t>Especialista</t>
        </is>
      </c>
      <c r="K181" s="2" t="inlineStr">
        <is>
          <t>Especialista</t>
        </is>
      </c>
      <c r="L181" s="2" t="n">
        <v>211120</v>
      </c>
      <c r="M181" s="2" t="inlineStr">
        <is>
          <t>Avaliação de tempos teórica</t>
        </is>
      </c>
      <c r="N181" s="2" t="inlineStr">
        <is>
          <t>Não elegível</t>
        </is>
      </c>
      <c r="O181" s="2" t="inlineStr">
        <is>
          <t>NAO ELEGIVEL COTA  APRENDIZ</t>
        </is>
      </c>
      <c r="P181" s="2" t="inlineStr">
        <is>
          <t>CLT</t>
        </is>
      </c>
      <c r="Q181" s="2" t="inlineStr">
        <is>
          <t>Preponderante</t>
        </is>
      </c>
      <c r="R181" s="2" t="inlineStr">
        <is>
          <t>Elementares</t>
        </is>
      </c>
      <c r="S181"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81" s="2" t="inlineStr">
        <is>
          <t>IE.07.003.P50</t>
        </is>
      </c>
      <c r="U181" s="2" t="inlineStr">
        <is>
          <t>IE.07.003.P50</t>
        </is>
      </c>
    </row>
    <row r="182">
      <c r="A182" s="2" t="inlineStr">
        <is>
          <t>NOVAMED</t>
        </is>
      </c>
      <c r="B182" s="2" t="inlineStr">
        <is>
          <t>NOVAMED</t>
        </is>
      </c>
      <c r="C182" s="2" t="n">
        <v>11615885</v>
      </c>
      <c r="D182" s="2" t="inlineStr">
        <is>
          <t>CIENTISTA DADOS II</t>
        </is>
      </c>
      <c r="E182" s="2" t="n">
        <v>12</v>
      </c>
      <c r="F182" s="2" t="inlineStr">
        <is>
          <t>ATIVO</t>
        </is>
      </c>
      <c r="G182" s="2" t="inlineStr">
        <is>
          <t>Negócios &amp; operações</t>
        </is>
      </c>
      <c r="H182" s="2" t="inlineStr">
        <is>
          <t>Atuarial, modelagem e dados</t>
        </is>
      </c>
      <c r="I182" s="2" t="inlineStr">
        <is>
          <t>Ciência de Dados</t>
        </is>
      </c>
      <c r="J182" s="2" t="inlineStr">
        <is>
          <t>Especialista</t>
        </is>
      </c>
      <c r="K182" s="2" t="inlineStr">
        <is>
          <t>Especialista</t>
        </is>
      </c>
      <c r="L182" s="2" t="n">
        <v>211120</v>
      </c>
      <c r="M182" s="2" t="inlineStr">
        <is>
          <t>Avaliação de tempos teórica</t>
        </is>
      </c>
      <c r="N182" s="2" t="inlineStr">
        <is>
          <t>Não elegível</t>
        </is>
      </c>
      <c r="O182" s="2" t="inlineStr">
        <is>
          <t>NAO ELEGIVEL COTA  APRENDIZ</t>
        </is>
      </c>
      <c r="P182" s="2" t="inlineStr">
        <is>
          <t>CLT</t>
        </is>
      </c>
      <c r="Q182" s="2" t="inlineStr">
        <is>
          <t>Preponderante</t>
        </is>
      </c>
      <c r="R182" s="2" t="inlineStr">
        <is>
          <t>Saúde</t>
        </is>
      </c>
      <c r="S182"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82" s="2" t="inlineStr">
        <is>
          <t>IE.07.003.P50</t>
        </is>
      </c>
      <c r="U182" s="2" t="inlineStr">
        <is>
          <t>IE.07.003.P50</t>
        </is>
      </c>
    </row>
    <row r="183">
      <c r="A183" s="2" t="inlineStr">
        <is>
          <t>SAUDE</t>
        </is>
      </c>
      <c r="B183" s="2" t="inlineStr">
        <is>
          <t>SAUDE</t>
        </is>
      </c>
      <c r="C183" s="2" t="n">
        <v>6315885</v>
      </c>
      <c r="D183" s="2" t="inlineStr">
        <is>
          <t>CIENTISTA DADOS II</t>
        </is>
      </c>
      <c r="E183" s="2" t="n">
        <v>12</v>
      </c>
      <c r="F183" s="2" t="inlineStr">
        <is>
          <t>ATIVO</t>
        </is>
      </c>
      <c r="G183" s="2" t="inlineStr">
        <is>
          <t>Negócios &amp; operações</t>
        </is>
      </c>
      <c r="H183" s="2" t="inlineStr">
        <is>
          <t>Atuarial, modelagem e dados</t>
        </is>
      </c>
      <c r="I183" s="2" t="inlineStr">
        <is>
          <t>Ciência de Dados</t>
        </is>
      </c>
      <c r="J183" s="2" t="inlineStr">
        <is>
          <t>Especialista</t>
        </is>
      </c>
      <c r="K183" s="2" t="inlineStr">
        <is>
          <t>Especialista</t>
        </is>
      </c>
      <c r="L183" s="2" t="n">
        <v>211120</v>
      </c>
      <c r="M183" s="2" t="inlineStr">
        <is>
          <t>Avaliação de tempos teórica</t>
        </is>
      </c>
      <c r="N183" s="2" t="inlineStr">
        <is>
          <t>Não elegível</t>
        </is>
      </c>
      <c r="O183" s="2" t="inlineStr">
        <is>
          <t>NAO ELEGIVEL COTA  APRENDIZ</t>
        </is>
      </c>
      <c r="P183" s="2" t="inlineStr">
        <is>
          <t>CLT</t>
        </is>
      </c>
      <c r="Q183" s="2" t="inlineStr">
        <is>
          <t>Preponderante</t>
        </is>
      </c>
      <c r="R183" s="2" t="inlineStr">
        <is>
          <t>Saúde</t>
        </is>
      </c>
      <c r="S183"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83" s="2" t="inlineStr">
        <is>
          <t>IE.07.003.P50</t>
        </is>
      </c>
      <c r="U183" s="2" t="inlineStr">
        <is>
          <t>IE.07.003.P50</t>
        </is>
      </c>
    </row>
    <row r="184">
      <c r="A184" s="2" t="inlineStr">
        <is>
          <t>SAUDE OPERADORA</t>
        </is>
      </c>
      <c r="B184" s="2" t="inlineStr">
        <is>
          <t>APOR</t>
        </is>
      </c>
      <c r="C184" s="2" t="n">
        <v>415885</v>
      </c>
      <c r="D184" s="2" t="inlineStr">
        <is>
          <t>CIENTISTA DADOS II</t>
        </is>
      </c>
      <c r="E184" s="2" t="n">
        <v>12</v>
      </c>
      <c r="F184" s="2" t="inlineStr">
        <is>
          <t>ATIVO</t>
        </is>
      </c>
      <c r="G184" s="2" t="inlineStr">
        <is>
          <t>Negócios &amp; operações</t>
        </is>
      </c>
      <c r="H184" s="2" t="inlineStr">
        <is>
          <t>Atuarial, modelagem e dados</t>
        </is>
      </c>
      <c r="I184" s="2" t="inlineStr">
        <is>
          <t>Ciência de Dados</t>
        </is>
      </c>
      <c r="J184" s="2" t="inlineStr">
        <is>
          <t>Especialista</t>
        </is>
      </c>
      <c r="K184" s="2" t="inlineStr">
        <is>
          <t>Especialista</t>
        </is>
      </c>
      <c r="L184" s="2" t="n">
        <v>211120</v>
      </c>
      <c r="M184" s="2" t="inlineStr">
        <is>
          <t>Avaliação de tempos teórica</t>
        </is>
      </c>
      <c r="N184" s="2" t="inlineStr">
        <is>
          <t>Não elegível</t>
        </is>
      </c>
      <c r="O184" s="2" t="inlineStr">
        <is>
          <t>NAO ELEGIVEL COTA  APRENDIZ</t>
        </is>
      </c>
      <c r="P184" s="2" t="inlineStr">
        <is>
          <t>CLT</t>
        </is>
      </c>
      <c r="Q184" s="2" t="inlineStr">
        <is>
          <t>Preponderante</t>
        </is>
      </c>
      <c r="R184" s="2" t="inlineStr">
        <is>
          <t>Saúde</t>
        </is>
      </c>
      <c r="S184" s="2" t="inlineStr">
        <is>
          <t>Responsável por integrar dados para desenvolver e implementar modelos preditivos robustos. Transformar dados brutos em insights acionáveis, utilizando técnicas de análise de dados, mineração de dados e visualização de dados para responder a questões estratégicas do negócio e apoiar a tomada de decisões informadas.</t>
        </is>
      </c>
      <c r="T184" s="2" t="inlineStr">
        <is>
          <t>IE.07.003.P50</t>
        </is>
      </c>
      <c r="U184" s="2" t="inlineStr">
        <is>
          <t>IE.07.003.P50</t>
        </is>
      </c>
    </row>
    <row r="185">
      <c r="A185" s="2" t="inlineStr">
        <is>
          <t>HOLDING</t>
        </is>
      </c>
      <c r="B185" s="2" t="inlineStr">
        <is>
          <t>HOLDING</t>
        </is>
      </c>
      <c r="C185" s="2" t="n">
        <v>6111342</v>
      </c>
      <c r="D185" s="2" t="inlineStr">
        <is>
          <t>CONSULTOR PRIVACIDADE DADOS</t>
        </is>
      </c>
      <c r="E185" s="2" t="n">
        <v>10</v>
      </c>
      <c r="F185" s="2" t="inlineStr">
        <is>
          <t>ATIVO</t>
        </is>
      </c>
      <c r="G185" s="2" t="inlineStr">
        <is>
          <t>Corporativo</t>
        </is>
      </c>
      <c r="H185" s="2" t="inlineStr">
        <is>
          <t>Privacidade de dados</t>
        </is>
      </c>
      <c r="I185" s="2" t="inlineStr">
        <is>
          <t>Privacidade de dados</t>
        </is>
      </c>
      <c r="J185" s="2" t="inlineStr">
        <is>
          <t>Especialista</t>
        </is>
      </c>
      <c r="K185" s="2" t="inlineStr">
        <is>
          <t>Consultor</t>
        </is>
      </c>
      <c r="L185" s="2" t="n">
        <v>142130</v>
      </c>
      <c r="M185" s="2" t="inlineStr">
        <is>
          <t>Avaliação de tempos real</t>
        </is>
      </c>
      <c r="N185" s="2" t="inlineStr">
        <is>
          <t>Elegível</t>
        </is>
      </c>
      <c r="O185" s="2" t="inlineStr">
        <is>
          <t>NAO ELEGIVEL COTA  APRENDIZ</t>
        </is>
      </c>
      <c r="P185" s="2" t="inlineStr">
        <is>
          <t>CLT</t>
        </is>
      </c>
      <c r="Q185" s="2" t="inlineStr">
        <is>
          <t>Preponderante</t>
        </is>
      </c>
      <c r="R185" s="2" t="inlineStr">
        <is>
          <t>Elementares</t>
        </is>
      </c>
      <c r="S185" s="2" t="inlineStr">
        <is>
          <t>Avaliar tecnicamente os pareceres de contratos sob a ótica de Privacidade de dados elaborados pela equipe, ser referência para a equipe para o desenvolvimento de normas, manuais, guias, cartilhas e conteudo de treinamento para governança e gestão de privacidade de dados pessoais do GBS</t>
        </is>
      </c>
      <c r="T185" s="2" t="inlineStr">
        <is>
          <t>IE.25.007.P40</t>
        </is>
      </c>
      <c r="U185" s="2" t="inlineStr">
        <is>
          <t>IE.25.007.P40</t>
        </is>
      </c>
    </row>
    <row r="186">
      <c r="A186" s="2" t="inlineStr">
        <is>
          <t>AFFINITY</t>
        </is>
      </c>
      <c r="B186" s="2" t="inlineStr">
        <is>
          <t>BSP AFFINITY</t>
        </is>
      </c>
      <c r="C186" s="2" t="n">
        <v>10011173</v>
      </c>
      <c r="D186" s="2" t="inlineStr">
        <is>
          <t>COORDENADOR CIENCIAS DADOS</t>
        </is>
      </c>
      <c r="E186" s="2" t="n">
        <v>11</v>
      </c>
      <c r="F186" s="2" t="inlineStr">
        <is>
          <t>ATIVO</t>
        </is>
      </c>
      <c r="G186" s="2" t="inlineStr">
        <is>
          <t>Negócios &amp; operações</t>
        </is>
      </c>
      <c r="H186" s="2" t="inlineStr">
        <is>
          <t>Atuarial, modelagem e dados</t>
        </is>
      </c>
      <c r="I186" s="2" t="inlineStr">
        <is>
          <t>Ciência de Dados</t>
        </is>
      </c>
      <c r="J186" s="2" t="inlineStr">
        <is>
          <t>Coordenador</t>
        </is>
      </c>
      <c r="K186" s="2" t="inlineStr">
        <is>
          <t>Coordenador Matriz</t>
        </is>
      </c>
      <c r="L186" s="2" t="n">
        <v>211120</v>
      </c>
      <c r="M186" s="2" t="inlineStr">
        <is>
          <t>Avaliação de tempos real</t>
        </is>
      </c>
      <c r="N186" s="2" t="inlineStr">
        <is>
          <t>Elegível</t>
        </is>
      </c>
      <c r="O186" s="2" t="inlineStr">
        <is>
          <t>NAO ELEGIVEL COTA  APRENDIZ</t>
        </is>
      </c>
      <c r="P186" s="2" t="inlineStr">
        <is>
          <t>CLT</t>
        </is>
      </c>
      <c r="Q186" s="2" t="inlineStr">
        <is>
          <t>Preponderante</t>
        </is>
      </c>
      <c r="R186" s="2" t="inlineStr">
        <is>
          <t>Affinity</t>
        </is>
      </c>
      <c r="S186"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86" s="2" t="inlineStr">
        <is>
          <t>IE.07.003.M20</t>
        </is>
      </c>
      <c r="U186" s="2" t="inlineStr">
        <is>
          <t>IE.07.003.M20</t>
        </is>
      </c>
    </row>
    <row r="187">
      <c r="A187" s="2" t="inlineStr">
        <is>
          <t>BARE</t>
        </is>
      </c>
      <c r="B187" s="2" t="inlineStr">
        <is>
          <t>AUTO RE SEG</t>
        </is>
      </c>
      <c r="C187" s="2" t="n">
        <v>7511173</v>
      </c>
      <c r="D187" s="2" t="inlineStr">
        <is>
          <t>COORDENADOR CIENCIAS DADOS</t>
        </is>
      </c>
      <c r="E187" s="2" t="n">
        <v>11</v>
      </c>
      <c r="F187" s="2" t="inlineStr">
        <is>
          <t>ATIVO</t>
        </is>
      </c>
      <c r="G187" s="2" t="inlineStr">
        <is>
          <t>Negócios &amp; operações</t>
        </is>
      </c>
      <c r="H187" s="2" t="inlineStr">
        <is>
          <t>Atuarial, modelagem e dados</t>
        </is>
      </c>
      <c r="I187" s="2" t="inlineStr">
        <is>
          <t>Ciência de Dados</t>
        </is>
      </c>
      <c r="J187" s="2" t="inlineStr">
        <is>
          <t>Coordenador</t>
        </is>
      </c>
      <c r="K187" s="2" t="inlineStr">
        <is>
          <t>Coordenador Matriz</t>
        </is>
      </c>
      <c r="L187" s="2" t="n">
        <v>211120</v>
      </c>
      <c r="M187" s="2" t="inlineStr">
        <is>
          <t>Avaliação de tempos real</t>
        </is>
      </c>
      <c r="N187" s="2" t="inlineStr">
        <is>
          <t>Elegível</t>
        </is>
      </c>
      <c r="O187" s="2" t="inlineStr">
        <is>
          <t>NAO ELEGIVEL COTA  APRENDIZ</t>
        </is>
      </c>
      <c r="P187" s="2" t="inlineStr">
        <is>
          <t>CLT</t>
        </is>
      </c>
      <c r="Q187" s="2" t="inlineStr">
        <is>
          <t>Preponderante</t>
        </is>
      </c>
      <c r="R187" s="2" t="inlineStr">
        <is>
          <t>Elementares</t>
        </is>
      </c>
      <c r="S187"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87" s="2" t="inlineStr">
        <is>
          <t>IE.07.003.M20</t>
        </is>
      </c>
      <c r="U187" s="2" t="inlineStr">
        <is>
          <t>IE.07.003.M20</t>
        </is>
      </c>
    </row>
    <row r="188">
      <c r="A188" s="2" t="inlineStr">
        <is>
          <t>BSP</t>
        </is>
      </c>
      <c r="B188" s="2" t="inlineStr">
        <is>
          <t>IMOBILIARIA</t>
        </is>
      </c>
      <c r="C188" s="2" t="n">
        <v>10611173</v>
      </c>
      <c r="D188" s="2" t="inlineStr">
        <is>
          <t>COORDENADOR CIENCIAS DADOS</t>
        </is>
      </c>
      <c r="E188" s="2" t="n">
        <v>11</v>
      </c>
      <c r="F188" s="2" t="inlineStr">
        <is>
          <t>ATIVO</t>
        </is>
      </c>
      <c r="G188" s="2" t="inlineStr">
        <is>
          <t>Negócios &amp; operações</t>
        </is>
      </c>
      <c r="H188" s="2" t="inlineStr">
        <is>
          <t>Atuarial, modelagem e dados</t>
        </is>
      </c>
      <c r="I188" s="2" t="inlineStr">
        <is>
          <t>Ciência de Dados</t>
        </is>
      </c>
      <c r="J188" s="2" t="inlineStr">
        <is>
          <t>Coordenador</t>
        </is>
      </c>
      <c r="K188" s="2" t="inlineStr">
        <is>
          <t>Coordenador Matriz</t>
        </is>
      </c>
      <c r="L188" s="2" t="n">
        <v>211120</v>
      </c>
      <c r="M188" s="2" t="inlineStr">
        <is>
          <t>Avaliação de tempos real</t>
        </is>
      </c>
      <c r="N188" s="2" t="inlineStr">
        <is>
          <t>Elegível</t>
        </is>
      </c>
      <c r="O188" s="2" t="inlineStr">
        <is>
          <t>NAO ELEGIVEL COTA  APRENDIZ</t>
        </is>
      </c>
      <c r="P188" s="2" t="inlineStr">
        <is>
          <t>CLT</t>
        </is>
      </c>
      <c r="Q188" s="2" t="inlineStr">
        <is>
          <t>Preponderante</t>
        </is>
      </c>
      <c r="R188" s="2" t="inlineStr">
        <is>
          <t>Empreendimentos</t>
        </is>
      </c>
      <c r="S188"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88" s="2" t="inlineStr">
        <is>
          <t>IE.07.003.M20</t>
        </is>
      </c>
      <c r="U188" s="2" t="inlineStr">
        <is>
          <t>IE.07.003.M20</t>
        </is>
      </c>
    </row>
    <row r="189">
      <c r="A189" s="2" t="inlineStr">
        <is>
          <t>BVP</t>
        </is>
      </c>
      <c r="B189" s="2" t="inlineStr">
        <is>
          <t>PREVIDENCIA</t>
        </is>
      </c>
      <c r="C189" s="2" t="n">
        <v>3411173</v>
      </c>
      <c r="D189" s="2" t="inlineStr">
        <is>
          <t>COORDENADOR CIENCIAS DADOS</t>
        </is>
      </c>
      <c r="E189" s="2" t="n">
        <v>11</v>
      </c>
      <c r="F189" s="2" t="inlineStr">
        <is>
          <t>ATIVO</t>
        </is>
      </c>
      <c r="G189" s="2" t="inlineStr">
        <is>
          <t>Negócios &amp; operações</t>
        </is>
      </c>
      <c r="H189" s="2" t="inlineStr">
        <is>
          <t>Atuarial, modelagem e dados</t>
        </is>
      </c>
      <c r="I189" s="2" t="inlineStr">
        <is>
          <t>Ciência de Dados</t>
        </is>
      </c>
      <c r="J189" s="2" t="inlineStr">
        <is>
          <t>Coordenador</t>
        </is>
      </c>
      <c r="K189" s="2" t="inlineStr">
        <is>
          <t>Coordenador Matriz</t>
        </is>
      </c>
      <c r="L189" s="2" t="n">
        <v>211120</v>
      </c>
      <c r="M189" s="2" t="inlineStr">
        <is>
          <t>Avaliação de tempos real</t>
        </is>
      </c>
      <c r="N189" s="2" t="inlineStr">
        <is>
          <t>Elegível</t>
        </is>
      </c>
      <c r="O189" s="2" t="inlineStr">
        <is>
          <t>NAO ELEGIVEL COTA  APRENDIZ</t>
        </is>
      </c>
      <c r="P189" s="2" t="inlineStr">
        <is>
          <t>CLT</t>
        </is>
      </c>
      <c r="Q189" s="2" t="inlineStr">
        <is>
          <t>Preponderante</t>
        </is>
      </c>
      <c r="R189" s="2" t="inlineStr">
        <is>
          <t>Vida e Previdência</t>
        </is>
      </c>
      <c r="S189" s="2" t="inlineStr">
        <is>
          <t>Profissional com conhecimento de dados e programação, que se utiliza de ferramentas estatísticas e computacionais para integrar arquitetura e engenharia de dados em busca de modelos preditivos, transformando-os em padrões que respondam às questões estratégicas do negócio para tomada de decisão.</t>
        </is>
      </c>
      <c r="T189" s="2" t="inlineStr">
        <is>
          <t>IE.07.003.M20</t>
        </is>
      </c>
      <c r="U189" s="2" t="inlineStr">
        <is>
          <t>IE.07.003.M20</t>
        </is>
      </c>
    </row>
    <row r="190">
      <c r="A190" s="2" t="inlineStr">
        <is>
          <t>BARE</t>
        </is>
      </c>
      <c r="B190" s="2" t="inlineStr">
        <is>
          <t>AUTO RE SEG</t>
        </is>
      </c>
      <c r="C190" s="2" t="n">
        <v>7505711</v>
      </c>
      <c r="D190" s="2" t="inlineStr">
        <is>
          <t>GERENTE INFORMACOES GERENCIAIS</t>
        </is>
      </c>
      <c r="E190" s="2" t="n">
        <v>11</v>
      </c>
      <c r="F190" s="2" t="inlineStr">
        <is>
          <t>ATIVO</t>
        </is>
      </c>
      <c r="G190" s="2" t="inlineStr">
        <is>
          <t>Negócios &amp; operações</t>
        </is>
      </c>
      <c r="H190" s="2" t="inlineStr">
        <is>
          <t>Atuarial, modelagem e dados</t>
        </is>
      </c>
      <c r="I190" s="2" t="inlineStr">
        <is>
          <t>Informações Gerenciais</t>
        </is>
      </c>
      <c r="J190" s="2" t="inlineStr">
        <is>
          <t>GA</t>
        </is>
      </c>
      <c r="K190" s="2" t="inlineStr">
        <is>
          <t>GA</t>
        </is>
      </c>
      <c r="L190" s="2" t="n">
        <v>142105</v>
      </c>
      <c r="M190" s="2" t="inlineStr">
        <is>
          <t>Avaliação de tempos teórica</t>
        </is>
      </c>
      <c r="N190" s="2" t="inlineStr">
        <is>
          <t>Não elegível</t>
        </is>
      </c>
      <c r="O190" s="2" t="inlineStr">
        <is>
          <t>NAO ELEGIVEL COTA  APRENDIZ</t>
        </is>
      </c>
      <c r="P190" s="2" t="inlineStr">
        <is>
          <t>CLT</t>
        </is>
      </c>
      <c r="Q190" s="2" t="inlineStr">
        <is>
          <t>Preponderante</t>
        </is>
      </c>
      <c r="R190" s="2" t="inlineStr">
        <is>
          <t>Elementares</t>
        </is>
      </c>
      <c r="S190" s="2" t="inlineStr">
        <is>
          <t>Gerenciar a equipe alinhando as atividades por elas exercidas a fim de buscar a elaboracao, analise, divulgacao e acompanhamento de informacoes gerenciais e estrategicas de negocios. Assegurar a melhoria continua na geracao, acompanhamento e divulgacao de informacoes, buscando eficiencia e eficacia.ÿ Garantir que a Diretoria do Departamento seja provida de indicadores e informacoes gerenciais (estrategicas e operacionais), possibilitando a tomada de decisao.ÿ</t>
        </is>
      </c>
      <c r="T190" s="2" t="inlineStr">
        <is>
          <t>IE.07.005.M30</t>
        </is>
      </c>
      <c r="U190" s="2" t="inlineStr">
        <is>
          <t>IE.07.005.M30</t>
        </is>
      </c>
    </row>
    <row r="191">
      <c r="A191" s="2" t="inlineStr">
        <is>
          <t>BARE</t>
        </is>
      </c>
      <c r="B191" s="2" t="inlineStr">
        <is>
          <t>AUTO RE SEG</t>
        </is>
      </c>
      <c r="C191" s="2" t="n">
        <v>7505698</v>
      </c>
      <c r="D191" s="2" t="inlineStr">
        <is>
          <t>COORDENADOR INFORMACOES GERENCIAIS</t>
        </is>
      </c>
      <c r="E191" s="2" t="n">
        <v>10</v>
      </c>
      <c r="F191" s="2" t="inlineStr">
        <is>
          <t>ATIVO</t>
        </is>
      </c>
      <c r="G191" s="2" t="inlineStr">
        <is>
          <t>Negócios &amp; operações</t>
        </is>
      </c>
      <c r="H191" s="2" t="inlineStr">
        <is>
          <t>Atuarial, modelagem e dados</t>
        </is>
      </c>
      <c r="I191" s="2" t="inlineStr">
        <is>
          <t>Informações Gerenciais</t>
        </is>
      </c>
      <c r="J191" s="2" t="inlineStr">
        <is>
          <t>Coordenador</t>
        </is>
      </c>
      <c r="K191" s="2" t="inlineStr">
        <is>
          <t>Coordenador Matriz</t>
        </is>
      </c>
      <c r="L191" s="2" t="n">
        <v>142330</v>
      </c>
      <c r="M191" s="2" t="inlineStr">
        <is>
          <t>Avaliação de tempos real</t>
        </is>
      </c>
      <c r="N191" s="2" t="inlineStr">
        <is>
          <t>Elegível</t>
        </is>
      </c>
      <c r="O191" s="2" t="inlineStr">
        <is>
          <t>NAO ELEGIVEL COTA  APRENDIZ</t>
        </is>
      </c>
      <c r="P191" s="2" t="inlineStr">
        <is>
          <t>CLT</t>
        </is>
      </c>
      <c r="Q191" s="2" t="inlineStr">
        <is>
          <t>Preponderante</t>
        </is>
      </c>
      <c r="R191" s="2" t="inlineStr">
        <is>
          <t>Elementares</t>
        </is>
      </c>
      <c r="S191" s="2" t="inlineStr">
        <is>
          <t>Coordenar a equipe alinhando as atividades por elas exercidas a fim de buscar a elaboracao, analise, divulgacao e acompanhamento de informacoes gerenciais e estrategicas de negocios. Criar, revisar e criticar a consistencia de informacoes e materiais gerenciais e estrategicos, para a tomada de decisoes das areas envolvidas. Implementar revisao e melhoria continua na geracao, acompanhamento e divulgacao de informacoes, buscando eficiencia e eficacia.  Garantir que a Diretoria do Departamento seja provida de indicadores e informacoes gerenciais (estrategicas e operacionais), atraves do gerenciamento de atividades de elaboracao, divulgacao e acompanhamento de indicadores e relatorios, possibilitando a tomada de decisao.</t>
        </is>
      </c>
      <c r="T191" s="2" t="inlineStr">
        <is>
          <t>IE.07.005.M20</t>
        </is>
      </c>
      <c r="U191" s="2" t="inlineStr">
        <is>
          <t>IE.07.005.M20</t>
        </is>
      </c>
    </row>
    <row r="192">
      <c r="A192" s="2" t="inlineStr">
        <is>
          <t>BARE</t>
        </is>
      </c>
      <c r="B192" s="2" t="inlineStr">
        <is>
          <t>AUTO RE SEG</t>
        </is>
      </c>
      <c r="C192" s="2" t="n">
        <v>7508404</v>
      </c>
      <c r="D192" s="2" t="inlineStr">
        <is>
          <t>ANALISTA INFORMACOES GERENCIAIS SR</t>
        </is>
      </c>
      <c r="E192" s="2" t="n">
        <v>9</v>
      </c>
      <c r="F192" s="2" t="inlineStr">
        <is>
          <t>ATIVO</t>
        </is>
      </c>
      <c r="G192" s="2" t="inlineStr">
        <is>
          <t>Negócios &amp; operações</t>
        </is>
      </c>
      <c r="H192" s="2" t="inlineStr">
        <is>
          <t>Atuarial, modelagem e dados</t>
        </is>
      </c>
      <c r="I192" s="2" t="inlineStr">
        <is>
          <t>Informações Gerenciais</t>
        </is>
      </c>
      <c r="J192" s="2" t="inlineStr">
        <is>
          <t>Analista</t>
        </is>
      </c>
      <c r="K192" s="2" t="inlineStr">
        <is>
          <t>Analista Sr</t>
        </is>
      </c>
      <c r="L192" s="2" t="n">
        <v>142330</v>
      </c>
      <c r="M192" s="2" t="inlineStr">
        <is>
          <t>Avaliação de tempos real</t>
        </is>
      </c>
      <c r="N192" s="2" t="inlineStr">
        <is>
          <t>Elegível</t>
        </is>
      </c>
      <c r="O192" s="2" t="inlineStr">
        <is>
          <t>NAO ELEGIVEL COTA  APRENDIZ</t>
        </is>
      </c>
      <c r="P192" s="2" t="inlineStr">
        <is>
          <t>CLT</t>
        </is>
      </c>
      <c r="Q192" s="2" t="inlineStr">
        <is>
          <t>Preponderante</t>
        </is>
      </c>
      <c r="R192" s="2" t="inlineStr">
        <is>
          <t>Elementares</t>
        </is>
      </c>
      <c r="S192" s="2" t="inlineStr">
        <is>
          <t>Elaborar relatorios estatisticos e indicadores, realizar analise tecnica e comparativa visando subsidiar as areas no acompanhamento e otimizacao da gestao administrativa, alinhados com o planejamento estrategico da Organizacao. Participar de grupos de trabalho, propor e auxiliar na implantacao de melhoria para o desenvolvimento de ferramentas de apoio a geracao da informacao, em atividades relacionadas a estrategia.</t>
        </is>
      </c>
      <c r="T192" s="2" t="inlineStr">
        <is>
          <t>IE.07.005.P30</t>
        </is>
      </c>
      <c r="U192" s="2" t="inlineStr">
        <is>
          <t>IE.07.005.P30</t>
        </is>
      </c>
    </row>
    <row r="193">
      <c r="A193" s="2" t="inlineStr">
        <is>
          <t>BARE</t>
        </is>
      </c>
      <c r="B193" s="2" t="inlineStr">
        <is>
          <t>AUTO RE SEG</t>
        </is>
      </c>
      <c r="C193" s="2" t="n">
        <v>7508413</v>
      </c>
      <c r="D193" s="2" t="inlineStr">
        <is>
          <t>ANALISTA INFORMACOES GERENCIAIS PL</t>
        </is>
      </c>
      <c r="E193" s="2" t="n">
        <v>7</v>
      </c>
      <c r="F193" s="2" t="inlineStr">
        <is>
          <t>ATIVO</t>
        </is>
      </c>
      <c r="G193" s="2" t="inlineStr">
        <is>
          <t>Negócios &amp; operações</t>
        </is>
      </c>
      <c r="H193" s="2" t="inlineStr">
        <is>
          <t>Atuarial, modelagem e dados</t>
        </is>
      </c>
      <c r="I193" s="2" t="inlineStr">
        <is>
          <t>Informações Gerenciais</t>
        </is>
      </c>
      <c r="J193" s="2" t="inlineStr">
        <is>
          <t>Analista</t>
        </is>
      </c>
      <c r="K193" s="2" t="inlineStr">
        <is>
          <t>Analista Pl</t>
        </is>
      </c>
      <c r="L193" s="2" t="n">
        <v>142330</v>
      </c>
      <c r="M193" s="2" t="inlineStr">
        <is>
          <t>Avaliação de tempos real</t>
        </is>
      </c>
      <c r="N193" s="2" t="inlineStr">
        <is>
          <t>Elegível</t>
        </is>
      </c>
      <c r="O193" s="2" t="inlineStr">
        <is>
          <t>NAO ELEGIVEL COTA  APRENDIZ</t>
        </is>
      </c>
      <c r="P193" s="2" t="inlineStr">
        <is>
          <t>CLT</t>
        </is>
      </c>
      <c r="Q193" s="2" t="inlineStr">
        <is>
          <t>Preponderante</t>
        </is>
      </c>
      <c r="R193" s="2" t="inlineStr">
        <is>
          <t>Elementares</t>
        </is>
      </c>
      <c r="S193" s="2" t="inlineStr">
        <is>
          <t>Elaborar relatorios estatisticos e indicadores, realizar analise tecnica e comparativa visando subsidiar as areas no acompanhamento e otimizacao da gestao administrativa, alinhados com o planejamento estrategico da Organizacao. Participar de grupos de trabalho, propor e auxiliar na implantacao de melhoria para o desenvolvimento de ferramentas de apoio a geracao da informacao, em atividades relacionadas a estrategia.</t>
        </is>
      </c>
      <c r="T193" s="2" t="inlineStr">
        <is>
          <t>IE.07.005.P20</t>
        </is>
      </c>
      <c r="U193" s="2" t="inlineStr">
        <is>
          <t>IE.07.005.P20</t>
        </is>
      </c>
    </row>
    <row r="194">
      <c r="A194" s="2" t="inlineStr">
        <is>
          <t>BARE</t>
        </is>
      </c>
      <c r="B194" s="2" t="inlineStr">
        <is>
          <t>AUTO RE SEG</t>
        </is>
      </c>
      <c r="C194" s="2" t="n">
        <v>7503983</v>
      </c>
      <c r="D194" s="2" t="inlineStr">
        <is>
          <t>ANALISTA INFORMACOES GERENCIAIS JR</t>
        </is>
      </c>
      <c r="E194" s="2" t="n">
        <v>5</v>
      </c>
      <c r="F194" s="2" t="inlineStr">
        <is>
          <t>ATIVO</t>
        </is>
      </c>
      <c r="G194" s="2" t="inlineStr">
        <is>
          <t>Negócios &amp; operações</t>
        </is>
      </c>
      <c r="H194" s="2" t="inlineStr">
        <is>
          <t>Atuarial, modelagem e dados</t>
        </is>
      </c>
      <c r="I194" s="2" t="inlineStr">
        <is>
          <t>Informações Gerenciais</t>
        </is>
      </c>
      <c r="J194" s="2" t="inlineStr">
        <is>
          <t>Analista</t>
        </is>
      </c>
      <c r="K194" s="2" t="inlineStr">
        <is>
          <t>Analista Jr</t>
        </is>
      </c>
      <c r="L194" s="2" t="n">
        <v>142330</v>
      </c>
      <c r="M194" s="2" t="inlineStr">
        <is>
          <t>Avaliação de tempos real</t>
        </is>
      </c>
      <c r="N194" s="2" t="inlineStr">
        <is>
          <t>Elegível</t>
        </is>
      </c>
      <c r="O194" s="2" t="inlineStr">
        <is>
          <t>NAO ELEGIVEL COTA  APRENDIZ</t>
        </is>
      </c>
      <c r="P194" s="2" t="inlineStr">
        <is>
          <t>CLT</t>
        </is>
      </c>
      <c r="Q194" s="2" t="inlineStr">
        <is>
          <t>Preponderante</t>
        </is>
      </c>
      <c r="R194" s="2" t="inlineStr">
        <is>
          <t>Elementares</t>
        </is>
      </c>
      <c r="S194" s="2" t="inlineStr">
        <is>
          <t>Elaborar relatorios estatisticos e indicadores, realizar analise tecnica e comparativa visando subsidiar as areas no acompanhamento e otimizacao da gestao administrativa, alinhados com o planejamento estrategico da Organizacao. Participar de grupos de trabalho, propor e auxiliar na implantacao de melhoria para o desenvolvimento de ferramentas de apoio a geracao da informacao, em atividades relacionadas a estrategia.</t>
        </is>
      </c>
      <c r="T194" s="2" t="inlineStr">
        <is>
          <t>IE.07.005.P10</t>
        </is>
      </c>
      <c r="U194" s="2" t="inlineStr">
        <is>
          <t>IE.07.005.P10</t>
        </is>
      </c>
    </row>
    <row r="195">
      <c r="A195" s="2" t="inlineStr">
        <is>
          <t>BARE</t>
        </is>
      </c>
      <c r="B195" s="2" t="inlineStr">
        <is>
          <t>AUTO RE SEG</t>
        </is>
      </c>
      <c r="C195" s="2" t="n">
        <v>7510212</v>
      </c>
      <c r="D195" s="2" t="inlineStr">
        <is>
          <t>ANALISTA ASSISTENTE INFO GERENCIAIS</t>
        </is>
      </c>
      <c r="E195" s="2" t="n">
        <v>4</v>
      </c>
      <c r="F195" s="2" t="inlineStr">
        <is>
          <t>ATIVO</t>
        </is>
      </c>
      <c r="G195" s="2" t="inlineStr">
        <is>
          <t>Negócios &amp; operações</t>
        </is>
      </c>
      <c r="H195" s="2" t="inlineStr">
        <is>
          <t>Atuarial, modelagem e dados</t>
        </is>
      </c>
      <c r="I195" s="2" t="inlineStr">
        <is>
          <t>Informações Gerenciais</t>
        </is>
      </c>
      <c r="J195" s="2" t="inlineStr">
        <is>
          <t>Assistente</t>
        </is>
      </c>
      <c r="K195" s="2" t="inlineStr">
        <is>
          <t>Assistente</t>
        </is>
      </c>
      <c r="L195" s="2" t="n">
        <v>142330</v>
      </c>
      <c r="M195" s="2" t="inlineStr">
        <is>
          <t>Avaliação de tempos real</t>
        </is>
      </c>
      <c r="N195" s="2" t="inlineStr">
        <is>
          <t>Elegível</t>
        </is>
      </c>
      <c r="O195" s="2" t="inlineStr">
        <is>
          <t>NAO ELEGIVEL COTA  APRENDIZ</t>
        </is>
      </c>
      <c r="P195" s="2" t="inlineStr">
        <is>
          <t>CLT</t>
        </is>
      </c>
      <c r="Q195" s="2" t="inlineStr">
        <is>
          <t>Preponderante</t>
        </is>
      </c>
      <c r="R195" s="2" t="inlineStr">
        <is>
          <t>Elementares</t>
        </is>
      </c>
      <c r="S195" s="2" t="inlineStr">
        <is>
          <t>Elaborar relatorios estatisticos e indicadores, realizar analise tecnica e comparativa visando subsidiar as areas no acompanhamento e otimizacao da gestao administrativa, alinhados com o planejamento estrategico da Organizacao. Participar de grupos de trabalho, propor e auxiliar na implantacao de melhoria para o desenvolvimento de ferramentas de apoio a geracao da informacao, em atividades relacionadas a estrategia.</t>
        </is>
      </c>
      <c r="T195" s="2" t="inlineStr">
        <is>
          <t>TI.01.004.S20</t>
        </is>
      </c>
      <c r="U195" s="2" t="inlineStr">
        <is>
          <t>TI.01.004.S20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6" customHeight="1">
      <c r="A1" s="3" t="inlineStr">
        <is>
          <t>DASHBOARD – CARGOS GBS</t>
        </is>
      </c>
    </row>
    <row r="2" ht="24" customHeight="1">
      <c r="A2" s="4" t="inlineStr">
        <is>
          <t>Visão Executiva de KPIs</t>
        </is>
      </c>
    </row>
    <row r="3" ht="8" customHeight="1"/>
    <row r="4" ht="24" customHeight="1">
      <c r="A4" s="5" t="inlineStr">
        <is>
          <t>Total de Cargos</t>
        </is>
      </c>
      <c r="C4" s="5" t="inlineStr">
        <is>
          <t>Cargos Ativos</t>
        </is>
      </c>
      <c r="E4" s="5" t="inlineStr">
        <is>
          <t>Cargos Inativos</t>
        </is>
      </c>
    </row>
    <row r="5" ht="24" customHeight="1">
      <c r="A5" s="6">
        <f>CONT.VALORES(Dados!A2:A195)</f>
        <v/>
      </c>
      <c r="C5" s="7">
        <f>CONT.SE(Dados!F2:F195,"ATIVO")</f>
        <v/>
      </c>
      <c r="E5" s="8">
        <f>CONT.SE(Dados!F2:F195,"INATIVO")</f>
        <v/>
      </c>
    </row>
    <row r="6" ht="24" customHeight="1">
      <c r="C6" s="9">
        <f>CONT.SE(Dados!F2:F195,"ATIVO")/CONT.VALORES(Dados!A2:A195)</f>
        <v/>
      </c>
      <c r="E6" s="10">
        <f>CONT.SE(Dados!F2:F195,"INATIVO")/CONT.VALORES(Dados!A2:A195)</f>
        <v/>
      </c>
    </row>
    <row r="7" ht="8" customHeight="1"/>
    <row r="8" ht="24" customHeight="1">
      <c r="A8" s="5" t="inlineStr">
        <is>
          <t>Total de Empresas</t>
        </is>
      </c>
      <c r="C8" s="5" t="inlineStr">
        <is>
          <t>Famílias GBS</t>
        </is>
      </c>
      <c r="E8" s="5" t="inlineStr">
        <is>
          <t>Grupos Hierárquicos</t>
        </is>
      </c>
    </row>
    <row r="9" ht="24" customHeight="1">
      <c r="A9" s="6">
        <f>CONT.VALORES(ÚNICO(Dados!A2:A195))</f>
        <v/>
      </c>
      <c r="C9" s="6">
        <f>CONT.VALORES(ÚNICO(Dados!H2:H195))</f>
        <v/>
      </c>
      <c r="E9" s="6">
        <f>CONT.VALORES(ÚNICO(Dados!J2:J195))</f>
        <v/>
      </c>
    </row>
    <row r="10" ht="24" customHeight="1"/>
    <row r="11" ht="8" customHeight="1"/>
    <row r="12" ht="24" customHeight="1">
      <c r="A12" s="5" t="inlineStr">
        <is>
          <t>Sem Cod. Mercer 2026</t>
        </is>
      </c>
      <c r="C12" s="5" t="inlineStr">
        <is>
          <t>Corporativo</t>
        </is>
      </c>
      <c r="E12" s="5" t="inlineStr">
        <is>
          <t>Negócios &amp; Operações</t>
        </is>
      </c>
    </row>
    <row r="13" ht="24" customHeight="1">
      <c r="A13" s="8">
        <f>CONT.SE(Dados!U2:U195,"")</f>
        <v/>
      </c>
      <c r="C13" s="6">
        <f>CONT.SE(Dados!G2:G195,"Corporativo")</f>
        <v/>
      </c>
      <c r="E13" s="6">
        <f>CONT.SE(Dados!G2:G195,"Negócios &amp; operações")</f>
        <v/>
      </c>
    </row>
    <row r="14" ht="24" customHeight="1">
      <c r="A14" s="10">
        <f>CONT.SE(Dados!U2:U195,"")/CONT.VALORES(Dados!A2:A195)</f>
        <v/>
      </c>
      <c r="C14" s="11">
        <f>CONT.SE(Dados!G2:G195,"Corporativo")/CONT.VALORES(Dados!A2:A195)</f>
        <v/>
      </c>
      <c r="E14" s="11">
        <f>CONT.SE(Dados!G2:G195,"Negócios &amp; operações")/CONT.VALORES(Dados!A2:A195)</f>
        <v/>
      </c>
    </row>
    <row r="15" ht="8" customHeight="1"/>
  </sheetData>
  <mergeCells count="25">
    <mergeCell ref="E12:F12"/>
    <mergeCell ref="C6:D6"/>
    <mergeCell ref="C5:D5"/>
    <mergeCell ref="E5:F5"/>
    <mergeCell ref="C14:D14"/>
    <mergeCell ref="E14:F14"/>
    <mergeCell ref="E8:F8"/>
    <mergeCell ref="C4:D4"/>
    <mergeCell ref="A2:F2"/>
    <mergeCell ref="E4:F4"/>
    <mergeCell ref="E13:F13"/>
    <mergeCell ref="C9:D9"/>
    <mergeCell ref="E9:F9"/>
    <mergeCell ref="A12:B12"/>
    <mergeCell ref="C12:D12"/>
    <mergeCell ref="E6:F6"/>
    <mergeCell ref="A5:B5"/>
    <mergeCell ref="A14:B14"/>
    <mergeCell ref="A8:B8"/>
    <mergeCell ref="C8:D8"/>
    <mergeCell ref="A4:B4"/>
    <mergeCell ref="A1:F1"/>
    <mergeCell ref="A13:B13"/>
    <mergeCell ref="C13:D13"/>
    <mergeCell ref="A9:B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34" customWidth="1" min="1" max="1"/>
    <col width="50" customWidth="1" min="2" max="2"/>
    <col width="50" customWidth="1" min="3" max="3"/>
    <col width="15" customWidth="1" min="4" max="4"/>
    <col width="36" customWidth="1" min="5" max="5"/>
  </cols>
  <sheetData>
    <row r="1" ht="30" customHeight="1">
      <c r="A1" s="12" t="inlineStr">
        <is>
          <t>Distribuição de Cargos por Grade</t>
        </is>
      </c>
    </row>
    <row r="2">
      <c r="A2" s="13" t="inlineStr">
        <is>
          <t>Grade</t>
        </is>
      </c>
      <c r="B2" s="13" t="inlineStr">
        <is>
          <t>Ativos</t>
        </is>
      </c>
      <c r="C2" s="13" t="inlineStr">
        <is>
          <t>Inativos</t>
        </is>
      </c>
      <c r="D2" s="13" t="inlineStr">
        <is>
          <t>Total</t>
        </is>
      </c>
      <c r="E2" s="13" t="inlineStr">
        <is>
          <t>% do Total</t>
        </is>
      </c>
    </row>
    <row r="3">
      <c r="A3" s="14" t="n">
        <v>2</v>
      </c>
      <c r="B3" s="14">
        <f>CONT.SES(Dados!E$2:E$195,A3,Dados!F$2:F$195,"ATIVO")</f>
        <v/>
      </c>
      <c r="C3" s="14">
        <f>CONT.SES(Dados!E$2:E$195,A3,Dados!F$2:F$195,"INATIVO")</f>
        <v/>
      </c>
      <c r="D3" s="14">
        <f>B3+C3</f>
        <v/>
      </c>
      <c r="E3" s="15">
        <f>D3/CONT.VALORES(Dados!A$2:A$195)</f>
        <v/>
      </c>
    </row>
    <row r="4">
      <c r="A4" s="16" t="n">
        <v>4</v>
      </c>
      <c r="B4" s="16">
        <f>CONT.SES(Dados!E$2:E$195,A4,Dados!F$2:F$195,"ATIVO")</f>
        <v/>
      </c>
      <c r="C4" s="16">
        <f>CONT.SES(Dados!E$2:E$195,A4,Dados!F$2:F$195,"INATIVO")</f>
        <v/>
      </c>
      <c r="D4" s="16">
        <f>B4+C4</f>
        <v/>
      </c>
      <c r="E4" s="17">
        <f>D4/CONT.VALORES(Dados!A$2:A$195)</f>
        <v/>
      </c>
    </row>
    <row r="5">
      <c r="A5" s="14" t="n">
        <v>5</v>
      </c>
      <c r="B5" s="14">
        <f>CONT.SES(Dados!E$2:E$195,A5,Dados!F$2:F$195,"ATIVO")</f>
        <v/>
      </c>
      <c r="C5" s="14">
        <f>CONT.SES(Dados!E$2:E$195,A5,Dados!F$2:F$195,"INATIVO")</f>
        <v/>
      </c>
      <c r="D5" s="14">
        <f>B5+C5</f>
        <v/>
      </c>
      <c r="E5" s="15">
        <f>D5/CONT.VALORES(Dados!A$2:A$195)</f>
        <v/>
      </c>
    </row>
    <row r="6">
      <c r="A6" s="16" t="n">
        <v>6</v>
      </c>
      <c r="B6" s="16">
        <f>CONT.SES(Dados!E$2:E$195,A6,Dados!F$2:F$195,"ATIVO")</f>
        <v/>
      </c>
      <c r="C6" s="16">
        <f>CONT.SES(Dados!E$2:E$195,A6,Dados!F$2:F$195,"INATIVO")</f>
        <v/>
      </c>
      <c r="D6" s="16">
        <f>B6+C6</f>
        <v/>
      </c>
      <c r="E6" s="17">
        <f>D6/CONT.VALORES(Dados!A$2:A$195)</f>
        <v/>
      </c>
    </row>
    <row r="7">
      <c r="A7" s="14" t="n">
        <v>7</v>
      </c>
      <c r="B7" s="14">
        <f>CONT.SES(Dados!E$2:E$195,A7,Dados!F$2:F$195,"ATIVO")</f>
        <v/>
      </c>
      <c r="C7" s="14">
        <f>CONT.SES(Dados!E$2:E$195,A7,Dados!F$2:F$195,"INATIVO")</f>
        <v/>
      </c>
      <c r="D7" s="14">
        <f>B7+C7</f>
        <v/>
      </c>
      <c r="E7" s="15">
        <f>D7/CONT.VALORES(Dados!A$2:A$195)</f>
        <v/>
      </c>
    </row>
    <row r="8">
      <c r="A8" s="16" t="n">
        <v>8</v>
      </c>
      <c r="B8" s="16">
        <f>CONT.SES(Dados!E$2:E$195,A8,Dados!F$2:F$195,"ATIVO")</f>
        <v/>
      </c>
      <c r="C8" s="16">
        <f>CONT.SES(Dados!E$2:E$195,A8,Dados!F$2:F$195,"INATIVO")</f>
        <v/>
      </c>
      <c r="D8" s="16">
        <f>B8+C8</f>
        <v/>
      </c>
      <c r="E8" s="17">
        <f>D8/CONT.VALORES(Dados!A$2:A$195)</f>
        <v/>
      </c>
    </row>
    <row r="9">
      <c r="A9" s="14" t="n">
        <v>9</v>
      </c>
      <c r="B9" s="14">
        <f>CONT.SES(Dados!E$2:E$195,A9,Dados!F$2:F$195,"ATIVO")</f>
        <v/>
      </c>
      <c r="C9" s="14">
        <f>CONT.SES(Dados!E$2:E$195,A9,Dados!F$2:F$195,"INATIVO")</f>
        <v/>
      </c>
      <c r="D9" s="14">
        <f>B9+C9</f>
        <v/>
      </c>
      <c r="E9" s="15">
        <f>D9/CONT.VALORES(Dados!A$2:A$195)</f>
        <v/>
      </c>
    </row>
    <row r="10">
      <c r="A10" s="16" t="n">
        <v>10</v>
      </c>
      <c r="B10" s="16">
        <f>CONT.SES(Dados!E$2:E$195,A10,Dados!F$2:F$195,"ATIVO")</f>
        <v/>
      </c>
      <c r="C10" s="16">
        <f>CONT.SES(Dados!E$2:E$195,A10,Dados!F$2:F$195,"INATIVO")</f>
        <v/>
      </c>
      <c r="D10" s="16">
        <f>B10+C10</f>
        <v/>
      </c>
      <c r="E10" s="17">
        <f>D10/CONT.VALORES(Dados!A$2:A$195)</f>
        <v/>
      </c>
    </row>
    <row r="11">
      <c r="A11" s="14" t="n">
        <v>11</v>
      </c>
      <c r="B11" s="14">
        <f>CONT.SES(Dados!E$2:E$195,A11,Dados!F$2:F$195,"ATIVO")</f>
        <v/>
      </c>
      <c r="C11" s="14">
        <f>CONT.SES(Dados!E$2:E$195,A11,Dados!F$2:F$195,"INATIVO")</f>
        <v/>
      </c>
      <c r="D11" s="14">
        <f>B11+C11</f>
        <v/>
      </c>
      <c r="E11" s="15">
        <f>D11/CONT.VALORES(Dados!A$2:A$195)</f>
        <v/>
      </c>
    </row>
    <row r="12">
      <c r="A12" s="16" t="n">
        <v>12</v>
      </c>
      <c r="B12" s="16">
        <f>CONT.SES(Dados!E$2:E$195,A12,Dados!F$2:F$195,"ATIVO")</f>
        <v/>
      </c>
      <c r="C12" s="16">
        <f>CONT.SES(Dados!E$2:E$195,A12,Dados!F$2:F$195,"INATIVO")</f>
        <v/>
      </c>
      <c r="D12" s="16">
        <f>B12+C12</f>
        <v/>
      </c>
      <c r="E12" s="17">
        <f>D12/CONT.VALORES(Dados!A$2:A$195)</f>
        <v/>
      </c>
    </row>
    <row r="13">
      <c r="A13" s="14" t="n">
        <v>13</v>
      </c>
      <c r="B13" s="14">
        <f>CONT.SES(Dados!E$2:E$195,A13,Dados!F$2:F$195,"ATIVO")</f>
        <v/>
      </c>
      <c r="C13" s="14">
        <f>CONT.SES(Dados!E$2:E$195,A13,Dados!F$2:F$195,"INATIVO")</f>
        <v/>
      </c>
      <c r="D13" s="14">
        <f>B13+C13</f>
        <v/>
      </c>
      <c r="E13" s="15">
        <f>D13/CONT.VALORES(Dados!A$2:A$195)</f>
        <v/>
      </c>
    </row>
    <row r="14">
      <c r="A14" s="1" t="inlineStr">
        <is>
          <t>TOTAL</t>
        </is>
      </c>
      <c r="B14" s="1">
        <f>SOMA(B3:B13)</f>
        <v/>
      </c>
      <c r="C14" s="1">
        <f>SOMA(C3:C13)</f>
        <v/>
      </c>
      <c r="D14" s="1">
        <f>SOMA(D3:D13)</f>
        <v/>
      </c>
      <c r="E14" s="18">
        <f>SOMA(E3:E13)</f>
        <v/>
      </c>
    </row>
  </sheetData>
  <mergeCells count="1">
    <mergeCell ref="A1:E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40" customWidth="1" min="1" max="1"/>
    <col width="3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16" customWidth="1" min="11" max="11"/>
  </cols>
  <sheetData>
    <row r="1" ht="30" customHeight="1">
      <c r="A1" s="12" t="inlineStr">
        <is>
          <t>Análise por Família GBS × Grupo Hierárquico</t>
        </is>
      </c>
    </row>
    <row r="2">
      <c r="A2" s="13" t="inlineStr">
        <is>
          <t>Família GBS</t>
        </is>
      </c>
      <c r="B2" s="13" t="inlineStr">
        <is>
          <t>Sub Família</t>
        </is>
      </c>
      <c r="C2" s="13" t="inlineStr">
        <is>
          <t>GA</t>
        </is>
      </c>
      <c r="D2" s="13" t="inlineStr">
        <is>
          <t>GS</t>
        </is>
      </c>
      <c r="E2" s="13" t="inlineStr">
        <is>
          <t>Coordenador</t>
        </is>
      </c>
      <c r="F2" s="13" t="inlineStr">
        <is>
          <t>Supervisor</t>
        </is>
      </c>
      <c r="G2" s="13" t="inlineStr">
        <is>
          <t>Especialista</t>
        </is>
      </c>
      <c r="H2" s="13" t="inlineStr">
        <is>
          <t>Analista</t>
        </is>
      </c>
      <c r="I2" s="13" t="inlineStr">
        <is>
          <t>Assistente</t>
        </is>
      </c>
      <c r="J2" s="13" t="inlineStr">
        <is>
          <t>Auxiliar</t>
        </is>
      </c>
      <c r="K2" s="13" t="inlineStr">
        <is>
          <t>TOTAL</t>
        </is>
      </c>
    </row>
    <row r="3">
      <c r="A3" s="19" t="inlineStr">
        <is>
          <t>Administração &amp; Serviços</t>
        </is>
      </c>
      <c r="B3" s="19" t="inlineStr">
        <is>
          <t>Facilities e Serviços Gerais</t>
        </is>
      </c>
      <c r="C3" s="20">
        <f>CONT.SES(Dados!H$2:H$195,"Administração &amp; Serviços",Dados!I$2:I$195,"Facilities e Serviços Gerais",Dados!J$2:J$195,"GA")</f>
        <v/>
      </c>
      <c r="D3" s="20">
        <f>CONT.SES(Dados!H$2:H$195,"Administração &amp; Serviços",Dados!I$2:I$195,"Facilities e Serviços Gerais",Dados!J$2:J$195,"GS")</f>
        <v/>
      </c>
      <c r="E3" s="20">
        <f>CONT.SES(Dados!H$2:H$195,"Administração &amp; Serviços",Dados!I$2:I$195,"Facilities e Serviços Gerais",Dados!J$2:J$195,"Coordenador")</f>
        <v/>
      </c>
      <c r="F3" s="20">
        <f>CONT.SES(Dados!H$2:H$195,"Administração &amp; Serviços",Dados!I$2:I$195,"Facilities e Serviços Gerais",Dados!J$2:J$195,"Supervisor")</f>
        <v/>
      </c>
      <c r="G3" s="20">
        <f>CONT.SES(Dados!H$2:H$195,"Administração &amp; Serviços",Dados!I$2:I$195,"Facilities e Serviços Gerais",Dados!J$2:J$195,"Especialista")</f>
        <v/>
      </c>
      <c r="H3" s="20">
        <f>CONT.SES(Dados!H$2:H$195,"Administração &amp; Serviços",Dados!I$2:I$195,"Facilities e Serviços Gerais",Dados!J$2:J$195,"Analista")</f>
        <v/>
      </c>
      <c r="I3" s="20">
        <f>CONT.SES(Dados!H$2:H$195,"Administração &amp; Serviços",Dados!I$2:I$195,"Facilities e Serviços Gerais",Dados!J$2:J$195,"Assistente")</f>
        <v/>
      </c>
      <c r="J3" s="20">
        <f>CONT.SES(Dados!H$2:H$195,"Administração &amp; Serviços",Dados!I$2:I$195,"Facilities e Serviços Gerais",Dados!J$2:J$195,"Auxiliar")</f>
        <v/>
      </c>
      <c r="K3" s="20">
        <f>SOMA(C3:J3)</f>
        <v/>
      </c>
    </row>
    <row r="4">
      <c r="A4" s="19" t="inlineStr"/>
      <c r="B4" s="19" t="inlineStr">
        <is>
          <t>Secretaria</t>
        </is>
      </c>
      <c r="C4" s="20">
        <f>CONT.SES(Dados!H$2:H$195,"Administração &amp; Serviços",Dados!I$2:I$195,"Secretaria",Dados!J$2:J$195,"GA")</f>
        <v/>
      </c>
      <c r="D4" s="20">
        <f>CONT.SES(Dados!H$2:H$195,"Administração &amp; Serviços",Dados!I$2:I$195,"Secretaria",Dados!J$2:J$195,"GS")</f>
        <v/>
      </c>
      <c r="E4" s="20">
        <f>CONT.SES(Dados!H$2:H$195,"Administração &amp; Serviços",Dados!I$2:I$195,"Secretaria",Dados!J$2:J$195,"Coordenador")</f>
        <v/>
      </c>
      <c r="F4" s="20">
        <f>CONT.SES(Dados!H$2:H$195,"Administração &amp; Serviços",Dados!I$2:I$195,"Secretaria",Dados!J$2:J$195,"Supervisor")</f>
        <v/>
      </c>
      <c r="G4" s="20">
        <f>CONT.SES(Dados!H$2:H$195,"Administração &amp; Serviços",Dados!I$2:I$195,"Secretaria",Dados!J$2:J$195,"Especialista")</f>
        <v/>
      </c>
      <c r="H4" s="20">
        <f>CONT.SES(Dados!H$2:H$195,"Administração &amp; Serviços",Dados!I$2:I$195,"Secretaria",Dados!J$2:J$195,"Analista")</f>
        <v/>
      </c>
      <c r="I4" s="20">
        <f>CONT.SES(Dados!H$2:H$195,"Administração &amp; Serviços",Dados!I$2:I$195,"Secretaria",Dados!J$2:J$195,"Assistente")</f>
        <v/>
      </c>
      <c r="J4" s="20">
        <f>CONT.SES(Dados!H$2:H$195,"Administração &amp; Serviços",Dados!I$2:I$195,"Secretaria",Dados!J$2:J$195,"Auxiliar")</f>
        <v/>
      </c>
      <c r="K4" s="20">
        <f>SOMA(C4:J4)</f>
        <v/>
      </c>
    </row>
    <row r="5">
      <c r="A5" s="19" t="inlineStr"/>
      <c r="B5" s="19" t="inlineStr">
        <is>
          <t>Serviços administrativos</t>
        </is>
      </c>
      <c r="C5" s="20">
        <f>CONT.SES(Dados!H$2:H$195,"Administração &amp; Serviços",Dados!I$2:I$195,"Serviços administrativos",Dados!J$2:J$195,"GA")</f>
        <v/>
      </c>
      <c r="D5" s="20">
        <f>CONT.SES(Dados!H$2:H$195,"Administração &amp; Serviços",Dados!I$2:I$195,"Serviços administrativos",Dados!J$2:J$195,"GS")</f>
        <v/>
      </c>
      <c r="E5" s="20">
        <f>CONT.SES(Dados!H$2:H$195,"Administração &amp; Serviços",Dados!I$2:I$195,"Serviços administrativos",Dados!J$2:J$195,"Coordenador")</f>
        <v/>
      </c>
      <c r="F5" s="20">
        <f>CONT.SES(Dados!H$2:H$195,"Administração &amp; Serviços",Dados!I$2:I$195,"Serviços administrativos",Dados!J$2:J$195,"Supervisor")</f>
        <v/>
      </c>
      <c r="G5" s="20">
        <f>CONT.SES(Dados!H$2:H$195,"Administração &amp; Serviços",Dados!I$2:I$195,"Serviços administrativos",Dados!J$2:J$195,"Especialista")</f>
        <v/>
      </c>
      <c r="H5" s="20">
        <f>CONT.SES(Dados!H$2:H$195,"Administração &amp; Serviços",Dados!I$2:I$195,"Serviços administrativos",Dados!J$2:J$195,"Analista")</f>
        <v/>
      </c>
      <c r="I5" s="20">
        <f>CONT.SES(Dados!H$2:H$195,"Administração &amp; Serviços",Dados!I$2:I$195,"Serviços administrativos",Dados!J$2:J$195,"Assistente")</f>
        <v/>
      </c>
      <c r="J5" s="20">
        <f>CONT.SES(Dados!H$2:H$195,"Administração &amp; Serviços",Dados!I$2:I$195,"Serviços administrativos",Dados!J$2:J$195,"Auxiliar")</f>
        <v/>
      </c>
      <c r="K5" s="20">
        <f>SOMA(C5:J5)</f>
        <v/>
      </c>
    </row>
    <row r="6">
      <c r="A6" s="19" t="inlineStr"/>
      <c r="B6" s="19" t="inlineStr">
        <is>
          <t>Serviços operacionais</t>
        </is>
      </c>
      <c r="C6" s="20">
        <f>CONT.SES(Dados!H$2:H$195,"Administração &amp; Serviços",Dados!I$2:I$195,"Serviços operacionais",Dados!J$2:J$195,"GA")</f>
        <v/>
      </c>
      <c r="D6" s="20">
        <f>CONT.SES(Dados!H$2:H$195,"Administração &amp; Serviços",Dados!I$2:I$195,"Serviços operacionais",Dados!J$2:J$195,"GS")</f>
        <v/>
      </c>
      <c r="E6" s="20">
        <f>CONT.SES(Dados!H$2:H$195,"Administração &amp; Serviços",Dados!I$2:I$195,"Serviços operacionais",Dados!J$2:J$195,"Coordenador")</f>
        <v/>
      </c>
      <c r="F6" s="20">
        <f>CONT.SES(Dados!H$2:H$195,"Administração &amp; Serviços",Dados!I$2:I$195,"Serviços operacionais",Dados!J$2:J$195,"Supervisor")</f>
        <v/>
      </c>
      <c r="G6" s="20">
        <f>CONT.SES(Dados!H$2:H$195,"Administração &amp; Serviços",Dados!I$2:I$195,"Serviços operacionais",Dados!J$2:J$195,"Especialista")</f>
        <v/>
      </c>
      <c r="H6" s="20">
        <f>CONT.SES(Dados!H$2:H$195,"Administração &amp; Serviços",Dados!I$2:I$195,"Serviços operacionais",Dados!J$2:J$195,"Analista")</f>
        <v/>
      </c>
      <c r="I6" s="20">
        <f>CONT.SES(Dados!H$2:H$195,"Administração &amp; Serviços",Dados!I$2:I$195,"Serviços operacionais",Dados!J$2:J$195,"Assistente")</f>
        <v/>
      </c>
      <c r="J6" s="20">
        <f>CONT.SES(Dados!H$2:H$195,"Administração &amp; Serviços",Dados!I$2:I$195,"Serviços operacionais",Dados!J$2:J$195,"Auxiliar")</f>
        <v/>
      </c>
      <c r="K6" s="20">
        <f>SOMA(C6:J6)</f>
        <v/>
      </c>
    </row>
    <row r="7">
      <c r="A7" s="21" t="inlineStr">
        <is>
          <t>Subtotal – Administração &amp; Serviços</t>
        </is>
      </c>
      <c r="B7" s="22" t="n"/>
      <c r="C7" s="22">
        <f>SOMA(C3:C6)</f>
        <v/>
      </c>
      <c r="D7" s="22">
        <f>SOMA(D3:D6)</f>
        <v/>
      </c>
      <c r="E7" s="22">
        <f>SOMA(E3:E6)</f>
        <v/>
      </c>
      <c r="F7" s="22">
        <f>SOMA(F3:F6)</f>
        <v/>
      </c>
      <c r="G7" s="22">
        <f>SOMA(G3:G6)</f>
        <v/>
      </c>
      <c r="H7" s="22">
        <f>SOMA(H3:H6)</f>
        <v/>
      </c>
      <c r="I7" s="22">
        <f>SOMA(I3:I6)</f>
        <v/>
      </c>
      <c r="J7" s="22">
        <f>SOMA(J3:J6)</f>
        <v/>
      </c>
      <c r="K7" s="22">
        <f>SOMA(C7:J7)</f>
        <v/>
      </c>
    </row>
    <row r="8">
      <c r="A8" s="23" t="inlineStr">
        <is>
          <t>Arquitetura &amp; Engenharia</t>
        </is>
      </c>
      <c r="B8" s="23" t="inlineStr">
        <is>
          <t>Arquitetura</t>
        </is>
      </c>
      <c r="C8" s="16">
        <f>CONT.SES(Dados!H$2:H$195,"Arquitetura &amp; Engenharia",Dados!I$2:I$195,"Arquitetura",Dados!J$2:J$195,"GA")</f>
        <v/>
      </c>
      <c r="D8" s="16">
        <f>CONT.SES(Dados!H$2:H$195,"Arquitetura &amp; Engenharia",Dados!I$2:I$195,"Arquitetura",Dados!J$2:J$195,"GS")</f>
        <v/>
      </c>
      <c r="E8" s="16">
        <f>CONT.SES(Dados!H$2:H$195,"Arquitetura &amp; Engenharia",Dados!I$2:I$195,"Arquitetura",Dados!J$2:J$195,"Coordenador")</f>
        <v/>
      </c>
      <c r="F8" s="16">
        <f>CONT.SES(Dados!H$2:H$195,"Arquitetura &amp; Engenharia",Dados!I$2:I$195,"Arquitetura",Dados!J$2:J$195,"Supervisor")</f>
        <v/>
      </c>
      <c r="G8" s="16">
        <f>CONT.SES(Dados!H$2:H$195,"Arquitetura &amp; Engenharia",Dados!I$2:I$195,"Arquitetura",Dados!J$2:J$195,"Especialista")</f>
        <v/>
      </c>
      <c r="H8" s="16">
        <f>CONT.SES(Dados!H$2:H$195,"Arquitetura &amp; Engenharia",Dados!I$2:I$195,"Arquitetura",Dados!J$2:J$195,"Analista")</f>
        <v/>
      </c>
      <c r="I8" s="16">
        <f>CONT.SES(Dados!H$2:H$195,"Arquitetura &amp; Engenharia",Dados!I$2:I$195,"Arquitetura",Dados!J$2:J$195,"Assistente")</f>
        <v/>
      </c>
      <c r="J8" s="16">
        <f>CONT.SES(Dados!H$2:H$195,"Arquitetura &amp; Engenharia",Dados!I$2:I$195,"Arquitetura",Dados!J$2:J$195,"Auxiliar")</f>
        <v/>
      </c>
      <c r="K8" s="16">
        <f>SOMA(C8:J8)</f>
        <v/>
      </c>
    </row>
    <row r="9">
      <c r="A9" s="23" t="inlineStr"/>
      <c r="B9" s="23" t="inlineStr">
        <is>
          <t>Engenharia</t>
        </is>
      </c>
      <c r="C9" s="16">
        <f>CONT.SES(Dados!H$2:H$195,"Arquitetura &amp; Engenharia",Dados!I$2:I$195,"Engenharia",Dados!J$2:J$195,"GA")</f>
        <v/>
      </c>
      <c r="D9" s="16">
        <f>CONT.SES(Dados!H$2:H$195,"Arquitetura &amp; Engenharia",Dados!I$2:I$195,"Engenharia",Dados!J$2:J$195,"GS")</f>
        <v/>
      </c>
      <c r="E9" s="16">
        <f>CONT.SES(Dados!H$2:H$195,"Arquitetura &amp; Engenharia",Dados!I$2:I$195,"Engenharia",Dados!J$2:J$195,"Coordenador")</f>
        <v/>
      </c>
      <c r="F9" s="16">
        <f>CONT.SES(Dados!H$2:H$195,"Arquitetura &amp; Engenharia",Dados!I$2:I$195,"Engenharia",Dados!J$2:J$195,"Supervisor")</f>
        <v/>
      </c>
      <c r="G9" s="16">
        <f>CONT.SES(Dados!H$2:H$195,"Arquitetura &amp; Engenharia",Dados!I$2:I$195,"Engenharia",Dados!J$2:J$195,"Especialista")</f>
        <v/>
      </c>
      <c r="H9" s="16">
        <f>CONT.SES(Dados!H$2:H$195,"Arquitetura &amp; Engenharia",Dados!I$2:I$195,"Engenharia",Dados!J$2:J$195,"Analista")</f>
        <v/>
      </c>
      <c r="I9" s="16">
        <f>CONT.SES(Dados!H$2:H$195,"Arquitetura &amp; Engenharia",Dados!I$2:I$195,"Engenharia",Dados!J$2:J$195,"Assistente")</f>
        <v/>
      </c>
      <c r="J9" s="16">
        <f>CONT.SES(Dados!H$2:H$195,"Arquitetura &amp; Engenharia",Dados!I$2:I$195,"Engenharia",Dados!J$2:J$195,"Auxiliar")</f>
        <v/>
      </c>
      <c r="K9" s="16">
        <f>SOMA(C9:J9)</f>
        <v/>
      </c>
    </row>
    <row r="10">
      <c r="A10" s="21" t="inlineStr">
        <is>
          <t>Subtotal – Arquitetura &amp; Engenharia</t>
        </is>
      </c>
      <c r="B10" s="22" t="n"/>
      <c r="C10" s="22">
        <f>SOMA(C8:C9)</f>
        <v/>
      </c>
      <c r="D10" s="22">
        <f>SOMA(D8:D9)</f>
        <v/>
      </c>
      <c r="E10" s="22">
        <f>SOMA(E8:E9)</f>
        <v/>
      </c>
      <c r="F10" s="22">
        <f>SOMA(F8:F9)</f>
        <v/>
      </c>
      <c r="G10" s="22">
        <f>SOMA(G8:G9)</f>
        <v/>
      </c>
      <c r="H10" s="22">
        <f>SOMA(H8:H9)</f>
        <v/>
      </c>
      <c r="I10" s="22">
        <f>SOMA(I8:I9)</f>
        <v/>
      </c>
      <c r="J10" s="22">
        <f>SOMA(J8:J9)</f>
        <v/>
      </c>
      <c r="K10" s="22">
        <f>SOMA(C10:J10)</f>
        <v/>
      </c>
    </row>
    <row r="11">
      <c r="A11" s="19" t="inlineStr">
        <is>
          <t>Atuarial, modelagem e dados</t>
        </is>
      </c>
      <c r="B11" s="19" t="inlineStr">
        <is>
          <t>Atuarial</t>
        </is>
      </c>
      <c r="C11" s="20">
        <f>CONT.SES(Dados!H$2:H$195,"Atuarial, modelagem e dados",Dados!I$2:I$195,"Atuarial",Dados!J$2:J$195,"GA")</f>
        <v/>
      </c>
      <c r="D11" s="20">
        <f>CONT.SES(Dados!H$2:H$195,"Atuarial, modelagem e dados",Dados!I$2:I$195,"Atuarial",Dados!J$2:J$195,"GS")</f>
        <v/>
      </c>
      <c r="E11" s="20">
        <f>CONT.SES(Dados!H$2:H$195,"Atuarial, modelagem e dados",Dados!I$2:I$195,"Atuarial",Dados!J$2:J$195,"Coordenador")</f>
        <v/>
      </c>
      <c r="F11" s="20">
        <f>CONT.SES(Dados!H$2:H$195,"Atuarial, modelagem e dados",Dados!I$2:I$195,"Atuarial",Dados!J$2:J$195,"Supervisor")</f>
        <v/>
      </c>
      <c r="G11" s="20">
        <f>CONT.SES(Dados!H$2:H$195,"Atuarial, modelagem e dados",Dados!I$2:I$195,"Atuarial",Dados!J$2:J$195,"Especialista")</f>
        <v/>
      </c>
      <c r="H11" s="20">
        <f>CONT.SES(Dados!H$2:H$195,"Atuarial, modelagem e dados",Dados!I$2:I$195,"Atuarial",Dados!J$2:J$195,"Analista")</f>
        <v/>
      </c>
      <c r="I11" s="20">
        <f>CONT.SES(Dados!H$2:H$195,"Atuarial, modelagem e dados",Dados!I$2:I$195,"Atuarial",Dados!J$2:J$195,"Assistente")</f>
        <v/>
      </c>
      <c r="J11" s="20">
        <f>CONT.SES(Dados!H$2:H$195,"Atuarial, modelagem e dados",Dados!I$2:I$195,"Atuarial",Dados!J$2:J$195,"Auxiliar")</f>
        <v/>
      </c>
      <c r="K11" s="20">
        <f>SOMA(C11:J11)</f>
        <v/>
      </c>
    </row>
    <row r="12">
      <c r="A12" s="19" t="inlineStr"/>
      <c r="B12" s="19" t="inlineStr">
        <is>
          <t>Ciência de Dados</t>
        </is>
      </c>
      <c r="C12" s="20">
        <f>CONT.SES(Dados!H$2:H$195,"Atuarial, modelagem e dados",Dados!I$2:I$195,"Ciência de Dados",Dados!J$2:J$195,"GA")</f>
        <v/>
      </c>
      <c r="D12" s="20">
        <f>CONT.SES(Dados!H$2:H$195,"Atuarial, modelagem e dados",Dados!I$2:I$195,"Ciência de Dados",Dados!J$2:J$195,"GS")</f>
        <v/>
      </c>
      <c r="E12" s="20">
        <f>CONT.SES(Dados!H$2:H$195,"Atuarial, modelagem e dados",Dados!I$2:I$195,"Ciência de Dados",Dados!J$2:J$195,"Coordenador")</f>
        <v/>
      </c>
      <c r="F12" s="20">
        <f>CONT.SES(Dados!H$2:H$195,"Atuarial, modelagem e dados",Dados!I$2:I$195,"Ciência de Dados",Dados!J$2:J$195,"Supervisor")</f>
        <v/>
      </c>
      <c r="G12" s="20">
        <f>CONT.SES(Dados!H$2:H$195,"Atuarial, modelagem e dados",Dados!I$2:I$195,"Ciência de Dados",Dados!J$2:J$195,"Especialista")</f>
        <v/>
      </c>
      <c r="H12" s="20">
        <f>CONT.SES(Dados!H$2:H$195,"Atuarial, modelagem e dados",Dados!I$2:I$195,"Ciência de Dados",Dados!J$2:J$195,"Analista")</f>
        <v/>
      </c>
      <c r="I12" s="20">
        <f>CONT.SES(Dados!H$2:H$195,"Atuarial, modelagem e dados",Dados!I$2:I$195,"Ciência de Dados",Dados!J$2:J$195,"Assistente")</f>
        <v/>
      </c>
      <c r="J12" s="20">
        <f>CONT.SES(Dados!H$2:H$195,"Atuarial, modelagem e dados",Dados!I$2:I$195,"Ciência de Dados",Dados!J$2:J$195,"Auxiliar")</f>
        <v/>
      </c>
      <c r="K12" s="20">
        <f>SOMA(C12:J12)</f>
        <v/>
      </c>
    </row>
    <row r="13">
      <c r="A13" s="19" t="inlineStr"/>
      <c r="B13" s="19" t="inlineStr">
        <is>
          <t>Informações Gerenciais</t>
        </is>
      </c>
      <c r="C13" s="20">
        <f>CONT.SES(Dados!H$2:H$195,"Atuarial, modelagem e dados",Dados!I$2:I$195,"Informações Gerenciais",Dados!J$2:J$195,"GA")</f>
        <v/>
      </c>
      <c r="D13" s="20">
        <f>CONT.SES(Dados!H$2:H$195,"Atuarial, modelagem e dados",Dados!I$2:I$195,"Informações Gerenciais",Dados!J$2:J$195,"GS")</f>
        <v/>
      </c>
      <c r="E13" s="20">
        <f>CONT.SES(Dados!H$2:H$195,"Atuarial, modelagem e dados",Dados!I$2:I$195,"Informações Gerenciais",Dados!J$2:J$195,"Coordenador")</f>
        <v/>
      </c>
      <c r="F13" s="20">
        <f>CONT.SES(Dados!H$2:H$195,"Atuarial, modelagem e dados",Dados!I$2:I$195,"Informações Gerenciais",Dados!J$2:J$195,"Supervisor")</f>
        <v/>
      </c>
      <c r="G13" s="20">
        <f>CONT.SES(Dados!H$2:H$195,"Atuarial, modelagem e dados",Dados!I$2:I$195,"Informações Gerenciais",Dados!J$2:J$195,"Especialista")</f>
        <v/>
      </c>
      <c r="H13" s="20">
        <f>CONT.SES(Dados!H$2:H$195,"Atuarial, modelagem e dados",Dados!I$2:I$195,"Informações Gerenciais",Dados!J$2:J$195,"Analista")</f>
        <v/>
      </c>
      <c r="I13" s="20">
        <f>CONT.SES(Dados!H$2:H$195,"Atuarial, modelagem e dados",Dados!I$2:I$195,"Informações Gerenciais",Dados!J$2:J$195,"Assistente")</f>
        <v/>
      </c>
      <c r="J13" s="20">
        <f>CONT.SES(Dados!H$2:H$195,"Atuarial, modelagem e dados",Dados!I$2:I$195,"Informações Gerenciais",Dados!J$2:J$195,"Auxiliar")</f>
        <v/>
      </c>
      <c r="K13" s="20">
        <f>SOMA(C13:J13)</f>
        <v/>
      </c>
    </row>
    <row r="14">
      <c r="A14" s="21" t="inlineStr">
        <is>
          <t>Subtotal – Atuarial, modelagem e dados</t>
        </is>
      </c>
      <c r="B14" s="22" t="n"/>
      <c r="C14" s="22">
        <f>SOMA(C11:C13)</f>
        <v/>
      </c>
      <c r="D14" s="22">
        <f>SOMA(D11:D13)</f>
        <v/>
      </c>
      <c r="E14" s="22">
        <f>SOMA(E11:E13)</f>
        <v/>
      </c>
      <c r="F14" s="22">
        <f>SOMA(F11:F13)</f>
        <v/>
      </c>
      <c r="G14" s="22">
        <f>SOMA(G11:G13)</f>
        <v/>
      </c>
      <c r="H14" s="22">
        <f>SOMA(H11:H13)</f>
        <v/>
      </c>
      <c r="I14" s="22">
        <f>SOMA(I11:I13)</f>
        <v/>
      </c>
      <c r="J14" s="22">
        <f>SOMA(J11:J13)</f>
        <v/>
      </c>
      <c r="K14" s="22">
        <f>SOMA(C14:J14)</f>
        <v/>
      </c>
    </row>
    <row r="15">
      <c r="A15" s="23" t="inlineStr">
        <is>
          <t>Privacidade de dados</t>
        </is>
      </c>
      <c r="B15" s="23" t="inlineStr">
        <is>
          <t>Privacidade de dados</t>
        </is>
      </c>
      <c r="C15" s="16">
        <f>CONT.SES(Dados!H$2:H$195,"Privacidade de dados",Dados!I$2:I$195,"Privacidade de dados",Dados!J$2:J$195,"GA")</f>
        <v/>
      </c>
      <c r="D15" s="16">
        <f>CONT.SES(Dados!H$2:H$195,"Privacidade de dados",Dados!I$2:I$195,"Privacidade de dados",Dados!J$2:J$195,"GS")</f>
        <v/>
      </c>
      <c r="E15" s="16">
        <f>CONT.SES(Dados!H$2:H$195,"Privacidade de dados",Dados!I$2:I$195,"Privacidade de dados",Dados!J$2:J$195,"Coordenador")</f>
        <v/>
      </c>
      <c r="F15" s="16">
        <f>CONT.SES(Dados!H$2:H$195,"Privacidade de dados",Dados!I$2:I$195,"Privacidade de dados",Dados!J$2:J$195,"Supervisor")</f>
        <v/>
      </c>
      <c r="G15" s="16">
        <f>CONT.SES(Dados!H$2:H$195,"Privacidade de dados",Dados!I$2:I$195,"Privacidade de dados",Dados!J$2:J$195,"Especialista")</f>
        <v/>
      </c>
      <c r="H15" s="16">
        <f>CONT.SES(Dados!H$2:H$195,"Privacidade de dados",Dados!I$2:I$195,"Privacidade de dados",Dados!J$2:J$195,"Analista")</f>
        <v/>
      </c>
      <c r="I15" s="16">
        <f>CONT.SES(Dados!H$2:H$195,"Privacidade de dados",Dados!I$2:I$195,"Privacidade de dados",Dados!J$2:J$195,"Assistente")</f>
        <v/>
      </c>
      <c r="J15" s="16">
        <f>CONT.SES(Dados!H$2:H$195,"Privacidade de dados",Dados!I$2:I$195,"Privacidade de dados",Dados!J$2:J$195,"Auxiliar")</f>
        <v/>
      </c>
      <c r="K15" s="16">
        <f>SOMA(C15:J15)</f>
        <v/>
      </c>
    </row>
    <row r="16">
      <c r="A16" s="21" t="inlineStr">
        <is>
          <t>Subtotal – Privacidade de dados</t>
        </is>
      </c>
      <c r="B16" s="22" t="n"/>
      <c r="C16" s="22">
        <f>SOMA(C15:C15)</f>
        <v/>
      </c>
      <c r="D16" s="22">
        <f>SOMA(D15:D15)</f>
        <v/>
      </c>
      <c r="E16" s="22">
        <f>SOMA(E15:E15)</f>
        <v/>
      </c>
      <c r="F16" s="22">
        <f>SOMA(F15:F15)</f>
        <v/>
      </c>
      <c r="G16" s="22">
        <f>SOMA(G15:G15)</f>
        <v/>
      </c>
      <c r="H16" s="22">
        <f>SOMA(H15:H15)</f>
        <v/>
      </c>
      <c r="I16" s="22">
        <f>SOMA(I15:I15)</f>
        <v/>
      </c>
      <c r="J16" s="22">
        <f>SOMA(J15:J15)</f>
        <v/>
      </c>
      <c r="K16" s="22">
        <f>SOMA(C16:J16)</f>
        <v/>
      </c>
    </row>
    <row r="17">
      <c r="A17" s="24" t="inlineStr">
        <is>
          <t>TOTAL GERAL</t>
        </is>
      </c>
      <c r="B17" s="1" t="n"/>
      <c r="C17" s="1">
        <f>CONT.SES(Dados!J$2:J$195,"GA")</f>
        <v/>
      </c>
      <c r="D17" s="1">
        <f>CONT.SES(Dados!J$2:J$195,"GS")</f>
        <v/>
      </c>
      <c r="E17" s="1">
        <f>CONT.SES(Dados!J$2:J$195,"Coordenador")</f>
        <v/>
      </c>
      <c r="F17" s="1">
        <f>CONT.SES(Dados!J$2:J$195,"Supervisor")</f>
        <v/>
      </c>
      <c r="G17" s="1">
        <f>CONT.SES(Dados!J$2:J$195,"Especialista")</f>
        <v/>
      </c>
      <c r="H17" s="1">
        <f>CONT.SES(Dados!J$2:J$195,"Analista")</f>
        <v/>
      </c>
      <c r="I17" s="1">
        <f>CONT.SES(Dados!J$2:J$195,"Assistente")</f>
        <v/>
      </c>
      <c r="J17" s="1">
        <f>CONT.SES(Dados!J$2:J$195,"Auxiliar")</f>
        <v/>
      </c>
      <c r="K17" s="1">
        <f>SOMA(C17:J17)</f>
        <v/>
      </c>
    </row>
  </sheetData>
  <mergeCells count="6">
    <mergeCell ref="A16:B16"/>
    <mergeCell ref="A7:B7"/>
    <mergeCell ref="A10:B10"/>
    <mergeCell ref="A14:B14"/>
    <mergeCell ref="A17:B17"/>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21" customWidth="1" min="1" max="1"/>
    <col width="45" customWidth="1" min="2" max="2"/>
    <col width="50" customWidth="1" min="3" max="3"/>
    <col width="50" customWidth="1" min="4" max="4"/>
    <col width="22" customWidth="1" min="5" max="5"/>
  </cols>
  <sheetData>
    <row r="1" ht="30" customHeight="1">
      <c r="A1" s="12" t="inlineStr">
        <is>
          <t>Análise por Empresa</t>
        </is>
      </c>
    </row>
    <row r="2">
      <c r="A2" s="13" t="inlineStr">
        <is>
          <t>Empresa</t>
        </is>
      </c>
      <c r="B2" s="13" t="inlineStr">
        <is>
          <t>Total Cargos</t>
        </is>
      </c>
      <c r="C2" s="13" t="inlineStr">
        <is>
          <t>Ativos</t>
        </is>
      </c>
      <c r="D2" s="13" t="inlineStr">
        <is>
          <t>Inativos</t>
        </is>
      </c>
      <c r="E2" s="13" t="inlineStr">
        <is>
          <t>% Ativo</t>
        </is>
      </c>
    </row>
    <row r="3">
      <c r="A3" s="25" t="inlineStr">
        <is>
          <t>AFFINITY</t>
        </is>
      </c>
      <c r="B3" s="14">
        <f>CONT.SE(Dados!A$2:A$195,"AFFINITY")</f>
        <v/>
      </c>
      <c r="C3" s="14">
        <f>CONT.SES(Dados!A$2:A$195,"AFFINITY",Dados!F$2:F$195,"ATIVO")</f>
        <v/>
      </c>
      <c r="D3" s="14">
        <f>CONT.SES(Dados!A$2:A$195,"AFFINITY",Dados!F$2:F$195,"INATIVO")</f>
        <v/>
      </c>
      <c r="E3" s="15">
        <f>SE(B3&gt;0,C3/B3,0)</f>
        <v/>
      </c>
    </row>
    <row r="4">
      <c r="A4" s="23" t="inlineStr">
        <is>
          <t>BARE</t>
        </is>
      </c>
      <c r="B4" s="16">
        <f>CONT.SE(Dados!A$2:A$195,"BARE")</f>
        <v/>
      </c>
      <c r="C4" s="16">
        <f>CONT.SES(Dados!A$2:A$195,"BARE",Dados!F$2:F$195,"ATIVO")</f>
        <v/>
      </c>
      <c r="D4" s="16">
        <f>CONT.SES(Dados!A$2:A$195,"BARE",Dados!F$2:F$195,"INATIVO")</f>
        <v/>
      </c>
      <c r="E4" s="17">
        <f>SE(B4&gt;0,C4/B4,0)</f>
        <v/>
      </c>
    </row>
    <row r="5">
      <c r="A5" s="25" t="inlineStr">
        <is>
          <t>BSP</t>
        </is>
      </c>
      <c r="B5" s="14">
        <f>CONT.SE(Dados!A$2:A$195,"BSP")</f>
        <v/>
      </c>
      <c r="C5" s="14">
        <f>CONT.SES(Dados!A$2:A$195,"BSP",Dados!F$2:F$195,"ATIVO")</f>
        <v/>
      </c>
      <c r="D5" s="14">
        <f>CONT.SES(Dados!A$2:A$195,"BSP",Dados!F$2:F$195,"INATIVO")</f>
        <v/>
      </c>
      <c r="E5" s="15">
        <f>SE(B5&gt;0,C5/B5,0)</f>
        <v/>
      </c>
    </row>
    <row r="6">
      <c r="A6" s="23" t="inlineStr">
        <is>
          <t>BVP</t>
        </is>
      </c>
      <c r="B6" s="16">
        <f>CONT.SE(Dados!A$2:A$195,"BVP")</f>
        <v/>
      </c>
      <c r="C6" s="16">
        <f>CONT.SES(Dados!A$2:A$195,"BVP",Dados!F$2:F$195,"ATIVO")</f>
        <v/>
      </c>
      <c r="D6" s="16">
        <f>CONT.SES(Dados!A$2:A$195,"BVP",Dados!F$2:F$195,"INATIVO")</f>
        <v/>
      </c>
      <c r="E6" s="17">
        <f>SE(B6&gt;0,C6/B6,0)</f>
        <v/>
      </c>
    </row>
    <row r="7">
      <c r="A7" s="25" t="inlineStr">
        <is>
          <t>CAP</t>
        </is>
      </c>
      <c r="B7" s="14">
        <f>CONT.SE(Dados!A$2:A$195,"CAP")</f>
        <v/>
      </c>
      <c r="C7" s="14">
        <f>CONT.SES(Dados!A$2:A$195,"CAP",Dados!F$2:F$195,"ATIVO")</f>
        <v/>
      </c>
      <c r="D7" s="14">
        <f>CONT.SES(Dados!A$2:A$195,"CAP",Dados!F$2:F$195,"INATIVO")</f>
        <v/>
      </c>
      <c r="E7" s="15">
        <f>SE(B7&gt;0,C7/B7,0)</f>
        <v/>
      </c>
    </row>
    <row r="8">
      <c r="A8" s="23" t="inlineStr">
        <is>
          <t>HOLDING</t>
        </is>
      </c>
      <c r="B8" s="16">
        <f>CONT.SE(Dados!A$2:A$195,"HOLDING")</f>
        <v/>
      </c>
      <c r="C8" s="16">
        <f>CONT.SES(Dados!A$2:A$195,"HOLDING",Dados!F$2:F$195,"ATIVO")</f>
        <v/>
      </c>
      <c r="D8" s="16">
        <f>CONT.SES(Dados!A$2:A$195,"HOLDING",Dados!F$2:F$195,"INATIVO")</f>
        <v/>
      </c>
      <c r="E8" s="17">
        <f>SE(B8&gt;0,C8/B8,0)</f>
        <v/>
      </c>
    </row>
    <row r="9">
      <c r="A9" s="25" t="inlineStr">
        <is>
          <t>MEDSERVICE</t>
        </is>
      </c>
      <c r="B9" s="14">
        <f>CONT.SE(Dados!A$2:A$195,"MEDSERVICE")</f>
        <v/>
      </c>
      <c r="C9" s="14">
        <f>CONT.SES(Dados!A$2:A$195,"MEDSERVICE",Dados!F$2:F$195,"ATIVO")</f>
        <v/>
      </c>
      <c r="D9" s="14">
        <f>CONT.SES(Dados!A$2:A$195,"MEDSERVICE",Dados!F$2:F$195,"INATIVO")</f>
        <v/>
      </c>
      <c r="E9" s="15">
        <f>SE(B9&gt;0,C9/B9,0)</f>
        <v/>
      </c>
    </row>
    <row r="10">
      <c r="A10" s="23" t="inlineStr">
        <is>
          <t>NOVAMED</t>
        </is>
      </c>
      <c r="B10" s="16">
        <f>CONT.SE(Dados!A$2:A$195,"NOVAMED")</f>
        <v/>
      </c>
      <c r="C10" s="16">
        <f>CONT.SES(Dados!A$2:A$195,"NOVAMED",Dados!F$2:F$195,"ATIVO")</f>
        <v/>
      </c>
      <c r="D10" s="16">
        <f>CONT.SES(Dados!A$2:A$195,"NOVAMED",Dados!F$2:F$195,"INATIVO")</f>
        <v/>
      </c>
      <c r="E10" s="17">
        <f>SE(B10&gt;0,C10/B10,0)</f>
        <v/>
      </c>
    </row>
    <row r="11">
      <c r="A11" s="25" t="inlineStr">
        <is>
          <t>SAUDE</t>
        </is>
      </c>
      <c r="B11" s="14">
        <f>CONT.SE(Dados!A$2:A$195,"SAUDE")</f>
        <v/>
      </c>
      <c r="C11" s="14">
        <f>CONT.SES(Dados!A$2:A$195,"SAUDE",Dados!F$2:F$195,"ATIVO")</f>
        <v/>
      </c>
      <c r="D11" s="14">
        <f>CONT.SES(Dados!A$2:A$195,"SAUDE",Dados!F$2:F$195,"INATIVO")</f>
        <v/>
      </c>
      <c r="E11" s="15">
        <f>SE(B11&gt;0,C11/B11,0)</f>
        <v/>
      </c>
    </row>
    <row r="12">
      <c r="A12" s="23" t="inlineStr">
        <is>
          <t>SAUDE OPERADORA</t>
        </is>
      </c>
      <c r="B12" s="16">
        <f>CONT.SE(Dados!A$2:A$195,"SAUDE OPERADORA")</f>
        <v/>
      </c>
      <c r="C12" s="16">
        <f>CONT.SES(Dados!A$2:A$195,"SAUDE OPERADORA",Dados!F$2:F$195,"ATIVO")</f>
        <v/>
      </c>
      <c r="D12" s="16">
        <f>CONT.SES(Dados!A$2:A$195,"SAUDE OPERADORA",Dados!F$2:F$195,"INATIVO")</f>
        <v/>
      </c>
      <c r="E12" s="17">
        <f>SE(B12&gt;0,C12/B12,0)</f>
        <v/>
      </c>
    </row>
    <row r="13">
      <c r="A13" s="24" t="inlineStr">
        <is>
          <t>TOTAL</t>
        </is>
      </c>
      <c r="B13" s="1">
        <f>SOMA(B3:B12)</f>
        <v/>
      </c>
      <c r="C13" s="1">
        <f>SOMA(C3:C12)</f>
        <v/>
      </c>
      <c r="D13" s="1">
        <f>SOMA(D3:D12)</f>
        <v/>
      </c>
      <c r="E13" s="18">
        <f>SE(B13&gt;0,C13/B13,0)</f>
        <v/>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46" customWidth="1" min="1" max="1"/>
    <col width="35" customWidth="1" min="2" max="2"/>
    <col width="35" customWidth="1" min="3" max="3"/>
    <col width="26" customWidth="1" min="4" max="4"/>
    <col width="10" customWidth="1" min="5" max="5"/>
  </cols>
  <sheetData>
    <row r="1" ht="30" customHeight="1">
      <c r="A1" s="12" t="inlineStr">
        <is>
          <t>Benchmarking Mercer – Cobertura 2025 vs 2026</t>
        </is>
      </c>
    </row>
    <row r="2">
      <c r="A2" s="13" t="inlineStr">
        <is>
          <t>Indicador</t>
        </is>
      </c>
      <c r="B2" s="13" t="inlineStr">
        <is>
          <t>Quantidade</t>
        </is>
      </c>
      <c r="C2" s="13" t="inlineStr">
        <is>
          <t>% Total</t>
        </is>
      </c>
    </row>
    <row r="3">
      <c r="A3" s="26" t="inlineStr">
        <is>
          <t>Cargos com Mercer 2025</t>
        </is>
      </c>
      <c r="B3" s="27">
        <f>CONT.SE(Dados!T$2:T$195,"&lt;&gt;"&amp;"")</f>
        <v/>
      </c>
      <c r="C3" s="28">
        <f>B3/CONT.VALORES(Dados!A$2:A$195)</f>
        <v/>
      </c>
    </row>
    <row r="4">
      <c r="A4" s="26" t="inlineStr">
        <is>
          <t>Cargos com Mercer 2026</t>
        </is>
      </c>
      <c r="B4" s="27">
        <f>CONT.SE(Dados!U$2:U$195,"&lt;&gt;"&amp;"")</f>
        <v/>
      </c>
      <c r="C4" s="28">
        <f>B4/CONT.VALORES(Dados!A$2:A$195)</f>
        <v/>
      </c>
    </row>
    <row r="5">
      <c r="A5" s="29" t="inlineStr">
        <is>
          <t>Cargos SEM Mercer 2026</t>
        </is>
      </c>
      <c r="B5" s="30">
        <f>CONT.SE(Dados!U$2:U$195,"")</f>
        <v/>
      </c>
      <c r="C5" s="31">
        <f>B5/CONT.VALORES(Dados!A$2:A$195)</f>
        <v/>
      </c>
    </row>
    <row r="6">
      <c r="A6" s="32" t="inlineStr">
        <is>
          <t>% Cobertura Mercer 2026</t>
        </is>
      </c>
      <c r="B6" s="33" t="inlineStr"/>
      <c r="C6" s="34">
        <f>B4/CONT.VALORES(Dados!A$2:A$195)</f>
        <v/>
      </c>
    </row>
    <row r="7"/>
    <row r="8"/>
    <row r="9" ht="24" customHeight="1">
      <c r="A9" s="35" t="inlineStr">
        <is>
          <t>Cargos SEM Cod. Mercer 2026  —  total: 16</t>
        </is>
      </c>
    </row>
    <row r="10">
      <c r="A10" s="13" t="inlineStr">
        <is>
          <t>Cargo</t>
        </is>
      </c>
      <c r="B10" s="13" t="inlineStr">
        <is>
          <t>Empresa</t>
        </is>
      </c>
      <c r="C10" s="13" t="inlineStr">
        <is>
          <t>Grade</t>
        </is>
      </c>
      <c r="D10" s="13" t="inlineStr">
        <is>
          <t>Família GBS</t>
        </is>
      </c>
      <c r="E10" s="13" t="inlineStr">
        <is>
          <t>Situação</t>
        </is>
      </c>
    </row>
    <row r="11">
      <c r="A11" s="25" t="inlineStr">
        <is>
          <t>ASSISTENTE ADMINISTRATIVO I</t>
        </is>
      </c>
      <c r="B11" s="14" t="inlineStr">
        <is>
          <t>HOLDING</t>
        </is>
      </c>
      <c r="C11" s="14" t="n">
        <v>4</v>
      </c>
      <c r="D11" s="25" t="inlineStr">
        <is>
          <t>Administração &amp; Serviços</t>
        </is>
      </c>
      <c r="E11" s="14" t="inlineStr">
        <is>
          <t>ATIVO</t>
        </is>
      </c>
    </row>
    <row r="12">
      <c r="A12" s="23" t="inlineStr">
        <is>
          <t>ANALISTA PROJETOS OBRAS</t>
        </is>
      </c>
      <c r="B12" s="16" t="inlineStr">
        <is>
          <t>BSP</t>
        </is>
      </c>
      <c r="C12" s="16" t="n">
        <v>5</v>
      </c>
      <c r="D12" s="23" t="inlineStr">
        <is>
          <t>Arquitetura &amp; Engenharia</t>
        </is>
      </c>
      <c r="E12" s="16" t="inlineStr">
        <is>
          <t>ATIVO</t>
        </is>
      </c>
    </row>
    <row r="13">
      <c r="A13" s="25" t="inlineStr">
        <is>
          <t>ARQUITETO I</t>
        </is>
      </c>
      <c r="B13" s="14" t="inlineStr">
        <is>
          <t>BSP</t>
        </is>
      </c>
      <c r="C13" s="14" t="n">
        <v>7</v>
      </c>
      <c r="D13" s="25" t="inlineStr">
        <is>
          <t>Arquitetura &amp; Engenharia</t>
        </is>
      </c>
      <c r="E13" s="14" t="inlineStr">
        <is>
          <t>ATIVO</t>
        </is>
      </c>
    </row>
    <row r="14">
      <c r="A14" s="23" t="inlineStr">
        <is>
          <t>ARQUITETO I</t>
        </is>
      </c>
      <c r="B14" s="16" t="inlineStr">
        <is>
          <t>HOLDING</t>
        </is>
      </c>
      <c r="C14" s="16" t="n">
        <v>7</v>
      </c>
      <c r="D14" s="23" t="inlineStr">
        <is>
          <t>Arquitetura &amp; Engenharia</t>
        </is>
      </c>
      <c r="E14" s="16" t="inlineStr">
        <is>
          <t>ATIVO</t>
        </is>
      </c>
    </row>
    <row r="15">
      <c r="A15" s="25" t="inlineStr">
        <is>
          <t>ENGENHEIRO I</t>
        </is>
      </c>
      <c r="B15" s="14" t="inlineStr">
        <is>
          <t>BSP</t>
        </is>
      </c>
      <c r="C15" s="14" t="n">
        <v>7</v>
      </c>
      <c r="D15" s="25" t="inlineStr">
        <is>
          <t>Arquitetura &amp; Engenharia</t>
        </is>
      </c>
      <c r="E15" s="14" t="inlineStr">
        <is>
          <t>ATIVO</t>
        </is>
      </c>
    </row>
    <row r="16">
      <c r="A16" s="23" t="inlineStr">
        <is>
          <t>ENGENHEIRO I</t>
        </is>
      </c>
      <c r="B16" s="16" t="inlineStr">
        <is>
          <t>HOLDING</t>
        </is>
      </c>
      <c r="C16" s="16" t="n">
        <v>7</v>
      </c>
      <c r="D16" s="23" t="inlineStr">
        <is>
          <t>Arquitetura &amp; Engenharia</t>
        </is>
      </c>
      <c r="E16" s="16" t="inlineStr">
        <is>
          <t>ATIVO</t>
        </is>
      </c>
    </row>
    <row r="17">
      <c r="A17" s="25" t="inlineStr">
        <is>
          <t>ARQUITETO II</t>
        </is>
      </c>
      <c r="B17" s="14" t="inlineStr">
        <is>
          <t>BSP</t>
        </is>
      </c>
      <c r="C17" s="14" t="n">
        <v>9</v>
      </c>
      <c r="D17" s="25" t="inlineStr">
        <is>
          <t>Arquitetura &amp; Engenharia</t>
        </is>
      </c>
      <c r="E17" s="14" t="inlineStr">
        <is>
          <t>ATIVO</t>
        </is>
      </c>
    </row>
    <row r="18">
      <c r="A18" s="23" t="inlineStr">
        <is>
          <t>ARQUITETO II</t>
        </is>
      </c>
      <c r="B18" s="16" t="inlineStr">
        <is>
          <t>HOLDING</t>
        </is>
      </c>
      <c r="C18" s="16" t="n">
        <v>9</v>
      </c>
      <c r="D18" s="23" t="inlineStr">
        <is>
          <t>Arquitetura &amp; Engenharia</t>
        </is>
      </c>
      <c r="E18" s="16" t="inlineStr">
        <is>
          <t>ATIVO</t>
        </is>
      </c>
    </row>
    <row r="19">
      <c r="A19" s="25" t="inlineStr">
        <is>
          <t>ENGENHEIRO II</t>
        </is>
      </c>
      <c r="B19" s="14" t="inlineStr">
        <is>
          <t>BSP</t>
        </is>
      </c>
      <c r="C19" s="14" t="n">
        <v>9</v>
      </c>
      <c r="D19" s="25" t="inlineStr">
        <is>
          <t>Arquitetura &amp; Engenharia</t>
        </is>
      </c>
      <c r="E19" s="14" t="inlineStr">
        <is>
          <t>ATIVO</t>
        </is>
      </c>
    </row>
    <row r="20">
      <c r="A20" s="23" t="inlineStr">
        <is>
          <t>ENGENHEIRO II</t>
        </is>
      </c>
      <c r="B20" s="16" t="inlineStr">
        <is>
          <t>HOLDING</t>
        </is>
      </c>
      <c r="C20" s="16" t="n">
        <v>9</v>
      </c>
      <c r="D20" s="23" t="inlineStr">
        <is>
          <t>Arquitetura &amp; Engenharia</t>
        </is>
      </c>
      <c r="E20" s="16" t="inlineStr">
        <is>
          <t>ATIVO</t>
        </is>
      </c>
    </row>
    <row r="21">
      <c r="A21" s="25" t="inlineStr">
        <is>
          <t>ARQUITETO III</t>
        </is>
      </c>
      <c r="B21" s="14" t="inlineStr">
        <is>
          <t>BSP</t>
        </is>
      </c>
      <c r="C21" s="14" t="n">
        <v>10</v>
      </c>
      <c r="D21" s="25" t="inlineStr">
        <is>
          <t>Arquitetura &amp; Engenharia</t>
        </is>
      </c>
      <c r="E21" s="14" t="inlineStr">
        <is>
          <t>ATIVO</t>
        </is>
      </c>
    </row>
    <row r="22">
      <c r="A22" s="23" t="inlineStr">
        <is>
          <t>ARQUITETO COORDENADOR</t>
        </is>
      </c>
      <c r="B22" s="16" t="inlineStr">
        <is>
          <t>HOLDING</t>
        </is>
      </c>
      <c r="C22" s="16" t="n">
        <v>10</v>
      </c>
      <c r="D22" s="23" t="inlineStr">
        <is>
          <t>Arquitetura &amp; Engenharia</t>
        </is>
      </c>
      <c r="E22" s="16" t="inlineStr">
        <is>
          <t>ATIVO</t>
        </is>
      </c>
    </row>
    <row r="23">
      <c r="A23" s="25" t="inlineStr">
        <is>
          <t>ENGENHEIRO III</t>
        </is>
      </c>
      <c r="B23" s="14" t="inlineStr">
        <is>
          <t>BSP</t>
        </is>
      </c>
      <c r="C23" s="14" t="n">
        <v>10</v>
      </c>
      <c r="D23" s="25" t="inlineStr">
        <is>
          <t>Arquitetura &amp; Engenharia</t>
        </is>
      </c>
      <c r="E23" s="14" t="inlineStr">
        <is>
          <t>ATIVO</t>
        </is>
      </c>
    </row>
    <row r="24">
      <c r="A24" s="23" t="inlineStr">
        <is>
          <t>ENGENHEIRO COORDENADOR</t>
        </is>
      </c>
      <c r="B24" s="16" t="inlineStr">
        <is>
          <t>HOLDING</t>
        </is>
      </c>
      <c r="C24" s="16" t="n">
        <v>10</v>
      </c>
      <c r="D24" s="23" t="inlineStr">
        <is>
          <t>Arquitetura &amp; Engenharia</t>
        </is>
      </c>
      <c r="E24" s="16" t="inlineStr">
        <is>
          <t>ATIVO</t>
        </is>
      </c>
    </row>
    <row r="25">
      <c r="A25" s="25" t="inlineStr">
        <is>
          <t>GERENTE ARQUITETURA</t>
        </is>
      </c>
      <c r="B25" s="14" t="inlineStr">
        <is>
          <t>BSP</t>
        </is>
      </c>
      <c r="C25" s="14" t="n">
        <v>11</v>
      </c>
      <c r="D25" s="25" t="inlineStr">
        <is>
          <t>Arquitetura &amp; Engenharia</t>
        </is>
      </c>
      <c r="E25" s="14" t="inlineStr">
        <is>
          <t>ATIVO</t>
        </is>
      </c>
    </row>
    <row r="26">
      <c r="A26" s="23" t="inlineStr">
        <is>
          <t>GERENTE ENGENHARIA</t>
        </is>
      </c>
      <c r="B26" s="16" t="inlineStr">
        <is>
          <t>BSP</t>
        </is>
      </c>
      <c r="C26" s="16" t="n">
        <v>11</v>
      </c>
      <c r="D26" s="23" t="inlineStr">
        <is>
          <t>Arquitetura &amp; Engenharia</t>
        </is>
      </c>
      <c r="E26" s="16" t="inlineStr">
        <is>
          <t>ATIVO</t>
        </is>
      </c>
    </row>
  </sheetData>
  <mergeCells count="2">
    <mergeCell ref="A1:D1"/>
    <mergeCell ref="A9:E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8" customWidth="1" min="1" max="1"/>
    <col width="50" customWidth="1" min="2" max="2"/>
    <col width="50" customWidth="1" min="3" max="3"/>
    <col width="15" customWidth="1" min="4" max="4"/>
  </cols>
  <sheetData>
    <row r="1" ht="30" customHeight="1">
      <c r="A1" s="12" t="inlineStr">
        <is>
          <t>Pirâmide Hierárquica – Cargos Ativos</t>
        </is>
      </c>
    </row>
    <row r="2">
      <c r="A2" s="13" t="inlineStr">
        <is>
          <t>Grupo Hierárquico</t>
        </is>
      </c>
      <c r="B2" s="13" t="inlineStr">
        <is>
          <t>Cargos Ativos</t>
        </is>
      </c>
      <c r="C2" s="13" t="inlineStr">
        <is>
          <t>Cargos Inativos</t>
        </is>
      </c>
      <c r="D2" s="13" t="inlineStr">
        <is>
          <t>Total</t>
        </is>
      </c>
    </row>
    <row r="3">
      <c r="A3" s="25" t="inlineStr">
        <is>
          <t>GA</t>
        </is>
      </c>
      <c r="B3" s="14">
        <f>CONT.SES(Dados!J$2:J$195,"GA",Dados!F$2:F$195,"ATIVO")</f>
        <v/>
      </c>
      <c r="C3" s="14">
        <f>CONT.SES(Dados!J$2:J$195,"GA",Dados!F$2:F$195,"INATIVO")</f>
        <v/>
      </c>
      <c r="D3" s="14">
        <f>B3+C3</f>
        <v/>
      </c>
    </row>
    <row r="4">
      <c r="A4" s="23" t="inlineStr">
        <is>
          <t>GS</t>
        </is>
      </c>
      <c r="B4" s="16">
        <f>CONT.SES(Dados!J$2:J$195,"GS",Dados!F$2:F$195,"ATIVO")</f>
        <v/>
      </c>
      <c r="C4" s="16">
        <f>CONT.SES(Dados!J$2:J$195,"GS",Dados!F$2:F$195,"INATIVO")</f>
        <v/>
      </c>
      <c r="D4" s="16">
        <f>B4+C4</f>
        <v/>
      </c>
    </row>
    <row r="5">
      <c r="A5" s="25" t="inlineStr">
        <is>
          <t>Coordenador</t>
        </is>
      </c>
      <c r="B5" s="14">
        <f>CONT.SES(Dados!J$2:J$195,"Coordenador",Dados!F$2:F$195,"ATIVO")</f>
        <v/>
      </c>
      <c r="C5" s="14">
        <f>CONT.SES(Dados!J$2:J$195,"Coordenador",Dados!F$2:F$195,"INATIVO")</f>
        <v/>
      </c>
      <c r="D5" s="14">
        <f>B5+C5</f>
        <v/>
      </c>
    </row>
    <row r="6">
      <c r="A6" s="23" t="inlineStr">
        <is>
          <t>Supervisor</t>
        </is>
      </c>
      <c r="B6" s="16">
        <f>CONT.SES(Dados!J$2:J$195,"Supervisor",Dados!F$2:F$195,"ATIVO")</f>
        <v/>
      </c>
      <c r="C6" s="16">
        <f>CONT.SES(Dados!J$2:J$195,"Supervisor",Dados!F$2:F$195,"INATIVO")</f>
        <v/>
      </c>
      <c r="D6" s="16">
        <f>B6+C6</f>
        <v/>
      </c>
    </row>
    <row r="7">
      <c r="A7" s="25" t="inlineStr">
        <is>
          <t>Especialista</t>
        </is>
      </c>
      <c r="B7" s="14">
        <f>CONT.SES(Dados!J$2:J$195,"Especialista",Dados!F$2:F$195,"ATIVO")</f>
        <v/>
      </c>
      <c r="C7" s="14">
        <f>CONT.SES(Dados!J$2:J$195,"Especialista",Dados!F$2:F$195,"INATIVO")</f>
        <v/>
      </c>
      <c r="D7" s="14">
        <f>B7+C7</f>
        <v/>
      </c>
    </row>
    <row r="8">
      <c r="A8" s="23" t="inlineStr">
        <is>
          <t>Analista</t>
        </is>
      </c>
      <c r="B8" s="16">
        <f>CONT.SES(Dados!J$2:J$195,"Analista",Dados!F$2:F$195,"ATIVO")</f>
        <v/>
      </c>
      <c r="C8" s="16">
        <f>CONT.SES(Dados!J$2:J$195,"Analista",Dados!F$2:F$195,"INATIVO")</f>
        <v/>
      </c>
      <c r="D8" s="16">
        <f>B8+C8</f>
        <v/>
      </c>
    </row>
    <row r="9">
      <c r="A9" s="25" t="inlineStr">
        <is>
          <t>Assistente</t>
        </is>
      </c>
      <c r="B9" s="14">
        <f>CONT.SES(Dados!J$2:J$195,"Assistente",Dados!F$2:F$195,"ATIVO")</f>
        <v/>
      </c>
      <c r="C9" s="14">
        <f>CONT.SES(Dados!J$2:J$195,"Assistente",Dados!F$2:F$195,"INATIVO")</f>
        <v/>
      </c>
      <c r="D9" s="14">
        <f>B9+C9</f>
        <v/>
      </c>
    </row>
    <row r="10">
      <c r="A10" s="23" t="inlineStr">
        <is>
          <t>Auxiliar</t>
        </is>
      </c>
      <c r="B10" s="16">
        <f>CONT.SES(Dados!J$2:J$195,"Auxiliar",Dados!F$2:F$195,"ATIVO")</f>
        <v/>
      </c>
      <c r="C10" s="16">
        <f>CONT.SES(Dados!J$2:J$195,"Auxiliar",Dados!F$2:F$195,"INATIVO")</f>
        <v/>
      </c>
      <c r="D10" s="16">
        <f>B10+C10</f>
        <v/>
      </c>
    </row>
    <row r="11">
      <c r="A11" s="24" t="inlineStr">
        <is>
          <t>TOTAL</t>
        </is>
      </c>
      <c r="B11" s="1">
        <f>SOMA(B3:B10)</f>
        <v/>
      </c>
      <c r="C11" s="1">
        <f>SOMA(C3:C10)</f>
        <v/>
      </c>
      <c r="D11" s="1">
        <f>SOMA(D3:D10)</f>
        <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2026-06-03T09:51:45Z</dcterms:created>
  <dcterms:modified xsi:type="dcterms:W3CDTF">2026-06-03T09:51:46Z</dcterms:modified>
</cp:coreProperties>
</file>