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cisão Trabalh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666666"/>
      <sz val="9"/>
    </font>
    <font>
      <name val="Calibri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4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4" fontId="3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4" fontId="6" fillId="4" borderId="1" pivotButton="0" quotePrefix="0" xfId="0"/>
    <xf numFmtId="4" fontId="4" fillId="3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CÁLCULO DE RESCISÃO TRABALHISTA</t>
        </is>
      </c>
    </row>
    <row r="2">
      <c r="A2" s="2" t="inlineStr">
        <is>
          <t>Demissão Sem Justa Causa</t>
        </is>
      </c>
    </row>
    <row r="4">
      <c r="A4" s="3" t="inlineStr">
        <is>
          <t>DADOS DO CONTRATO</t>
        </is>
      </c>
    </row>
    <row r="5">
      <c r="A5" s="4" t="inlineStr">
        <is>
          <t>Data de Admissão</t>
        </is>
      </c>
      <c r="B5" s="4" t="inlineStr">
        <is>
          <t>13/11/2024</t>
        </is>
      </c>
    </row>
    <row r="6">
      <c r="A6" s="4" t="inlineStr">
        <is>
          <t>Data de Demissão</t>
        </is>
      </c>
      <c r="B6" s="4" t="inlineStr">
        <is>
          <t>10/06/2026</t>
        </is>
      </c>
    </row>
    <row r="7">
      <c r="A7" s="4" t="inlineStr">
        <is>
          <t>Salário Bruto Mensal (R$)</t>
        </is>
      </c>
      <c r="B7" s="5" t="n">
        <v>7629.44</v>
      </c>
    </row>
    <row r="8">
      <c r="A8" s="4" t="inlineStr">
        <is>
          <t>Dias trabalhados no mês da demissão</t>
        </is>
      </c>
      <c r="B8" s="4" t="n">
        <v>10</v>
      </c>
    </row>
    <row r="9">
      <c r="A9" s="4" t="inlineStr">
        <is>
          <t>Dias de férias gozados (1º período)</t>
        </is>
      </c>
      <c r="B9" s="4" t="n">
        <v>10</v>
      </c>
    </row>
    <row r="10">
      <c r="A10" s="4" t="inlineStr">
        <is>
          <t>Dias de férias do período completo</t>
        </is>
      </c>
      <c r="B10" s="4" t="n">
        <v>30</v>
      </c>
    </row>
    <row r="11">
      <c r="A11" s="4" t="inlineStr">
        <is>
          <t>Dias de férias restantes (vencidas)</t>
        </is>
      </c>
      <c r="B11" s="4">
        <f>B10-B9</f>
        <v/>
      </c>
    </row>
    <row r="12">
      <c r="A12" s="4" t="inlineStr">
        <is>
          <t>Anos completos trabalhados</t>
        </is>
      </c>
      <c r="B12" s="4" t="n">
        <v>1</v>
      </c>
    </row>
    <row r="13">
      <c r="A13" s="4" t="inlineStr">
        <is>
          <t>Aviso prévio (dias)</t>
        </is>
      </c>
      <c r="B13" s="4">
        <f>30+3*B12</f>
        <v/>
      </c>
    </row>
    <row r="16">
      <c r="A16" s="6" t="inlineStr">
        <is>
          <t>VERBA</t>
        </is>
      </c>
      <c r="B16" s="6" t="inlineStr">
        <is>
          <t>BASE / FÓRMULA</t>
        </is>
      </c>
      <c r="C16" s="7" t="inlineStr">
        <is>
          <t>VALOR (R$)</t>
        </is>
      </c>
    </row>
    <row r="17">
      <c r="A17" s="4" t="inlineStr">
        <is>
          <t>Saldo de Salário</t>
        </is>
      </c>
      <c r="B17" s="5">
        <f>B7/30*B8</f>
        <v/>
      </c>
      <c r="C17" s="8">
        <f>B7/30*B8</f>
        <v/>
      </c>
    </row>
    <row r="18">
      <c r="A18" s="4" t="inlineStr">
        <is>
          <t>Aviso Prévio Indenizado</t>
        </is>
      </c>
      <c r="B18" s="5">
        <f>B7/30*B13</f>
        <v/>
      </c>
      <c r="C18" s="8">
        <f>B7/30*B13</f>
        <v/>
      </c>
    </row>
    <row r="19">
      <c r="A19" s="4" t="inlineStr">
        <is>
          <t>13º Salário Proporcional (7/12)</t>
        </is>
      </c>
      <c r="B19" s="5">
        <f>B7/12*7</f>
        <v/>
      </c>
      <c r="C19" s="8">
        <f>B7/12*7</f>
        <v/>
      </c>
    </row>
    <row r="20">
      <c r="A20" s="4" t="inlineStr">
        <is>
          <t>Férias Vencidas (20 dias restantes)</t>
        </is>
      </c>
      <c r="B20" s="5">
        <f>B7/30*B11</f>
        <v/>
      </c>
      <c r="C20" s="8">
        <f>B7/30*B11</f>
        <v/>
      </c>
    </row>
    <row r="21">
      <c r="A21" s="4" t="inlineStr">
        <is>
          <t>1/3 Constitucional s/ Férias Vencidas</t>
        </is>
      </c>
      <c r="B21" s="5">
        <f>C20/3</f>
        <v/>
      </c>
      <c r="C21" s="8">
        <f>C20/3</f>
        <v/>
      </c>
    </row>
    <row r="22">
      <c r="A22" s="4" t="inlineStr">
        <is>
          <t>Férias Proporcionais (8/12)</t>
        </is>
      </c>
      <c r="B22" s="5">
        <f>B7/12*8</f>
        <v/>
      </c>
      <c r="C22" s="8">
        <f>B7/12*8</f>
        <v/>
      </c>
    </row>
    <row r="23">
      <c r="A23" s="4" t="inlineStr">
        <is>
          <t>1/3 Constitucional s/ Férias Proporcionais</t>
        </is>
      </c>
      <c r="B23" s="5">
        <f>C22/3</f>
        <v/>
      </c>
      <c r="C23" s="8">
        <f>C22/3</f>
        <v/>
      </c>
    </row>
    <row r="24">
      <c r="A24" s="9" t="inlineStr">
        <is>
          <t>TOTAL BRUTO DAS VERBAS RESCISÓRIAS</t>
        </is>
      </c>
      <c r="B24" s="10" t="n"/>
      <c r="C24" s="11">
        <f>SUM(C17:C23)</f>
        <v/>
      </c>
    </row>
    <row r="26">
      <c r="A26" s="6" t="inlineStr">
        <is>
          <t>DEDUÇÕES</t>
        </is>
      </c>
      <c r="B26" s="6" t="inlineStr">
        <is>
          <t>BASE / FÓRMULA</t>
        </is>
      </c>
      <c r="C26" s="6" t="inlineStr">
        <is>
          <t>VALOR (R$)</t>
        </is>
      </c>
    </row>
    <row r="27">
      <c r="A27" s="4" t="inlineStr">
        <is>
          <t>INSS s/ Saldo de Salário</t>
        </is>
      </c>
      <c r="B27" s="4" t="inlineStr">
        <is>
          <t>Alíquota progressiva s/ saldo</t>
        </is>
      </c>
      <c r="C27" s="8">
        <f>IF(C17&lt;=1518,C17*0.075,IF(C17&lt;=2793.88,1518*0.075+(C17-1518)*0.09,IF(C17&lt;=4190.83,1518*0.075+(2793.88-1518)*0.09+(C17-2793.88)*0.12,1518*0.075+(2793.88-1518)*0.09+(4190.83-2793.88)*0.12+(MIN(C17,8157.41)-4190.83)*0.14)))</f>
        <v/>
      </c>
    </row>
    <row r="28">
      <c r="A28" s="4" t="inlineStr">
        <is>
          <t>INSS s/ 13º Proporcional</t>
        </is>
      </c>
      <c r="B28" s="4" t="inlineStr">
        <is>
          <t>Alíquota progressiva s/ 13º</t>
        </is>
      </c>
      <c r="C28" s="8">
        <f>IF(C19&lt;=1518,C19*0.075,IF(C19&lt;=2793.88,1518*0.075+(C19-1518)*0.09,IF(C19&lt;=4190.83,1518*0.075+(2793.88-1518)*0.09+(C19-2793.88)*0.12,1518*0.075+(2793.88-1518)*0.09+(4190.83-2793.88)*0.12+(MIN(C19,8157.41)-4190.83)*0.14)))</f>
        <v/>
      </c>
    </row>
    <row r="29">
      <c r="A29" s="4" t="inlineStr">
        <is>
          <t>IRRF s/ Saldo de Salário</t>
        </is>
      </c>
      <c r="B29" s="4" t="inlineStr">
        <is>
          <t>Base = Saldo - INSS</t>
        </is>
      </c>
      <c r="C29" s="8">
        <f>IF((C17-C27)&lt;=2259.20,0,IF((C17-C27)&lt;=2826.65,(C17-C27)*0.075-169.44,IF((C17-C27)&lt;=3751.05,(C17-C27)*0.15-381.44,IF((C17-C27)&lt;=4664.68,(C17-C27)*0.225-662.77,(C17-C27)*0.275-896.00))))</f>
        <v/>
      </c>
    </row>
    <row r="30">
      <c r="A30" s="4" t="inlineStr">
        <is>
          <t>IRRF s/ 13º Proporcional</t>
        </is>
      </c>
      <c r="B30" s="4" t="inlineStr">
        <is>
          <t>Base = 13º - INSS s/13º</t>
        </is>
      </c>
      <c r="C30" s="8">
        <f>IF((C19-C28)&lt;=2259.20,0,IF((C19-C28)&lt;=2826.65,(C19-C28)*0.075-169.44,IF((C19-C28)&lt;=3751.05,(C19-C28)*0.15-381.44,IF((C19-C28)&lt;=4664.68,(C19-C28)*0.225-662.77,(C19-C28)*0.275-896.00))))</f>
        <v/>
      </c>
    </row>
    <row r="31">
      <c r="A31" s="9" t="inlineStr">
        <is>
          <t>TOTAL DEDUÇÕES</t>
        </is>
      </c>
      <c r="B31" s="10" t="n"/>
      <c r="C31" s="11">
        <f>SUM(C27:C30)</f>
        <v/>
      </c>
    </row>
    <row r="33">
      <c r="A33" s="12" t="inlineStr">
        <is>
          <t>VALOR LÍQUIDO DA RESCISÃO</t>
        </is>
      </c>
      <c r="B33" s="13" t="n"/>
      <c r="C33" s="14">
        <f>C24-C31</f>
        <v/>
      </c>
    </row>
    <row r="35">
      <c r="A35" s="6" t="inlineStr">
        <is>
          <t>FGTS</t>
        </is>
      </c>
      <c r="B35" s="6" t="inlineStr">
        <is>
          <t>BASE / FÓRMULA</t>
        </is>
      </c>
      <c r="C35" s="6" t="inlineStr">
        <is>
          <t>VALOR (R$)</t>
        </is>
      </c>
    </row>
    <row r="36">
      <c r="A36" s="4" t="inlineStr">
        <is>
          <t>FGTS Depositado (estimativa 19 meses)</t>
        </is>
      </c>
      <c r="B36" s="5">
        <f>B7*0.08*19</f>
        <v/>
      </c>
      <c r="C36" s="8">
        <f>B7*0.08*19</f>
        <v/>
      </c>
    </row>
    <row r="37">
      <c r="A37" s="4" t="inlineStr">
        <is>
          <t>FGTS s/ Verbas Rescisórias</t>
        </is>
      </c>
      <c r="B37" s="5">
        <f>(C17+C18+C19)*0.08</f>
        <v/>
      </c>
      <c r="C37" s="8">
        <f>(C17+C18+C19)*0.08</f>
        <v/>
      </c>
    </row>
    <row r="38">
      <c r="A38" s="4" t="inlineStr">
        <is>
          <t>Saldo Total FGTS (estimado)</t>
        </is>
      </c>
      <c r="B38" s="5">
        <f>C36+C37</f>
        <v/>
      </c>
      <c r="C38" s="8">
        <f>C36+C37</f>
        <v/>
      </c>
    </row>
    <row r="39">
      <c r="A39" s="9" t="inlineStr">
        <is>
          <t>Multa 40% FGTS</t>
        </is>
      </c>
      <c r="B39" s="15">
        <f>C38*0.4</f>
        <v/>
      </c>
      <c r="C39" s="11">
        <f>C38*0.4</f>
        <v/>
      </c>
    </row>
    <row r="41">
      <c r="A41" s="12" t="inlineStr">
        <is>
          <t>TOTAL A RECEBER (Líquido + Multa FGTS)</t>
        </is>
      </c>
      <c r="B41" s="13" t="n"/>
      <c r="C41" s="14">
        <f>C33+C39</f>
        <v/>
      </c>
    </row>
    <row r="42">
      <c r="A42" s="16" t="inlineStr">
        <is>
          <t>(FGTS + Multa são depositados/sacados via Caixa)</t>
        </is>
      </c>
    </row>
    <row r="44">
      <c r="A44" s="3" t="inlineStr">
        <is>
          <t>NOTAS:</t>
        </is>
      </c>
    </row>
    <row r="45">
      <c r="A45" s="17" t="inlineStr">
        <is>
          <t>1. Cálculo baseado em demissão SEM justa causa.</t>
        </is>
      </c>
    </row>
    <row r="46">
      <c r="A46" s="17" t="inlineStr">
        <is>
          <t>2. Aviso prévio indenizado: 30 dias + 3 dias por ano completo trabalhado (Art. 7º, XXI, CF).</t>
        </is>
      </c>
    </row>
    <row r="47">
      <c r="A47" s="17" t="inlineStr">
        <is>
          <t>3. Projeção do aviso prévio (33 dias) considerada para 13º e férias proporcionais.</t>
        </is>
      </c>
    </row>
    <row r="48">
      <c r="A48" s="17" t="inlineStr">
        <is>
          <t>4. 13º proporcional: Jan-Jul/2026 = 7/12 (com projeção do aviso até 13/07/2026).</t>
        </is>
      </c>
    </row>
    <row r="49">
      <c r="A49" s="17" t="inlineStr">
        <is>
          <t>5. Férias proporcionais: 2º período aquisitivo (13/11/2025 a 13/07/2026) = 8/12.</t>
        </is>
      </c>
    </row>
    <row r="50">
      <c r="A50" s="17" t="inlineStr">
        <is>
          <t>6. Férias vencidas: 30 dias do 1º período - 10 dias gozados = 20 dias.</t>
        </is>
      </c>
    </row>
    <row r="51">
      <c r="A51" s="17" t="inlineStr">
        <is>
          <t>7. FGTS depositado é estimativa (sem correção monetária). Consulte extrato FGTS para valor exato.</t>
        </is>
      </c>
    </row>
    <row r="52">
      <c r="A52" s="17" t="inlineStr">
        <is>
          <t>8. Tabelas INSS e IRRF vigentes em 2025 (verificar atualizações para 2026).</t>
        </is>
      </c>
    </row>
    <row r="53">
      <c r="A53" s="17" t="inlineStr">
        <is>
          <t>9. Não inclui: horas extras, adicional noturno, DSR ou outros adicionais.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2026-06-23T18:59:49Z</dcterms:created>
  <dcterms:modified xsi:type="dcterms:W3CDTF">2026-06-23T18:59:49Z</dcterms:modified>
</cp:coreProperties>
</file>