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Plano S&amp;OE" sheetId="2" state="visible" r:id="rId2"/>
    <sheet name="Analise_Resumo" sheetId="3" state="visible" r:id="rId3"/>
  </sheets>
  <definedNames>
    <definedName name="_xlnm._FilterDatabase" localSheetId="1" hidden="1">'Plano S&amp;OE'!$A$1:$V$6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F4E79"/>
      <sz val="12"/>
    </font>
    <font>
      <name val="Calibri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color rgb="001F4E79"/>
      <sz val="10"/>
    </font>
    <font>
      <name val="Calibri"/>
      <b val="1"/>
      <color rgb="00C00000"/>
      <sz val="9"/>
    </font>
    <font>
      <name val="Calibri"/>
      <b val="1"/>
      <color rgb="001F4E79"/>
      <sz val="16"/>
    </font>
    <font>
      <name val="Calibri"/>
      <b val="1"/>
      <color rgb="00FFFFFF"/>
      <sz val="12"/>
    </font>
    <font>
      <name val="Calibri"/>
      <color rgb="00C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006100"/>
      <sz val="10"/>
    </font>
  </fonts>
  <fills count="13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EEAF6"/>
        <bgColor rgb="00DEEAF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1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49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0" fontId="0" fillId="10" borderId="1" pivotButton="0" quotePrefix="0" xfId="0"/>
    <xf numFmtId="4" fontId="7" fillId="10" borderId="1" applyAlignment="1" pivotButton="0" quotePrefix="0" xfId="0">
      <alignment horizontal="right" vertical="center"/>
    </xf>
    <xf numFmtId="0" fontId="10" fillId="0" borderId="0" pivotButton="0" quotePrefix="0" xfId="0"/>
    <xf numFmtId="0" fontId="0" fillId="2" borderId="4" pivotButton="0" quotePrefix="0" xfId="0"/>
    <xf numFmtId="4" fontId="4" fillId="4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0" fillId="11" borderId="5" pivotButton="0" quotePrefix="0" xfId="0"/>
    <xf numFmtId="0" fontId="0" fillId="11" borderId="4" pivotButton="0" quotePrefix="0" xfId="0"/>
    <xf numFmtId="0" fontId="12" fillId="0" borderId="0" pivotButton="0" quotePrefix="0" xfId="0"/>
    <xf numFmtId="0" fontId="11" fillId="12" borderId="1" applyAlignment="1" pivotButton="0" quotePrefix="0" xfId="0">
      <alignment horizontal="center" vertical="center" wrapText="1"/>
    </xf>
    <xf numFmtId="0" fontId="0" fillId="12" borderId="5" pivotButton="0" quotePrefix="0" xfId="0"/>
    <xf numFmtId="0" fontId="0" fillId="12" borderId="4" pivotButton="0" quotePrefix="0" xfId="0"/>
    <xf numFmtId="0" fontId="13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</cols>
  <sheetData>
    <row r="1">
      <c r="A1" s="1" t="inlineStr">
        <is>
          <t>PARÂMETROS DO MODELO S&amp;OE</t>
        </is>
      </c>
    </row>
    <row r="3">
      <c r="A3" s="2" t="inlineStr">
        <is>
          <t>Parâmetro</t>
        </is>
      </c>
      <c r="B3" s="2" t="inlineStr">
        <is>
          <t>Valor</t>
        </is>
      </c>
      <c r="C3" s="2" t="inlineStr">
        <is>
          <t>Unidade</t>
        </is>
      </c>
    </row>
    <row r="4">
      <c r="A4" s="3" t="inlineStr">
        <is>
          <t>Nível de Serviço (%)</t>
        </is>
      </c>
      <c r="B4" s="4" t="n">
        <v>99</v>
      </c>
      <c r="C4" s="5" t="inlineStr">
        <is>
          <t>%</t>
        </is>
      </c>
    </row>
    <row r="5">
      <c r="A5" s="3" t="inlineStr">
        <is>
          <t>Z-Score (NS)</t>
        </is>
      </c>
      <c r="B5" s="4" t="n">
        <v>2.33</v>
      </c>
      <c r="C5" s="5" t="inlineStr"/>
    </row>
    <row r="6">
      <c r="A6" s="3" t="inlineStr">
        <is>
          <t>Lead Time Padrão (dias)</t>
        </is>
      </c>
      <c r="B6" s="4" t="n">
        <v>30</v>
      </c>
      <c r="C6" s="5" t="inlineStr">
        <is>
          <t>dias</t>
        </is>
      </c>
    </row>
    <row r="7">
      <c r="A7" s="3" t="inlineStr">
        <is>
          <t>Fator de Segurança (k)</t>
        </is>
      </c>
      <c r="B7" s="4" t="n">
        <v>1.2</v>
      </c>
      <c r="C7" s="5" t="inlineStr"/>
    </row>
    <row r="8">
      <c r="A8" s="3" t="inlineStr">
        <is>
          <t>Plano S&amp;OP Total (ton)</t>
        </is>
      </c>
      <c r="B8" s="4" t="n">
        <v>4607</v>
      </c>
      <c r="C8" s="5" t="inlineStr">
        <is>
          <t>ton</t>
        </is>
      </c>
    </row>
    <row r="9">
      <c r="A9" s="3" t="inlineStr">
        <is>
          <t>Dias Úteis no Mês</t>
        </is>
      </c>
      <c r="B9" s="4" t="n">
        <v>30</v>
      </c>
      <c r="C9" s="5" t="inlineStr">
        <is>
          <t>dias</t>
        </is>
      </c>
    </row>
    <row r="10">
      <c r="A10" s="3" t="inlineStr">
        <is>
          <t>Lote Mínimo Produção (ton)</t>
        </is>
      </c>
      <c r="B10" s="4" t="n">
        <v>600</v>
      </c>
      <c r="C10" s="5" t="inlineStr">
        <is>
          <t>ton</t>
        </is>
      </c>
    </row>
    <row r="13">
      <c r="A13" s="6" t="inlineStr">
        <is>
          <t>LEGENDA DE CORES — Aba Plano S&amp;OE</t>
        </is>
      </c>
    </row>
    <row r="14">
      <c r="A14" s="7" t="inlineStr">
        <is>
          <t>Azul claro</t>
        </is>
      </c>
      <c r="B14" s="8" t="inlineStr">
        <is>
          <t>Campo de entrada (usuário preenche)</t>
        </is>
      </c>
      <c r="C14" s="9" t="n"/>
    </row>
    <row r="15">
      <c r="A15" s="10" t="inlineStr">
        <is>
          <t>Cinza claro</t>
        </is>
      </c>
      <c r="B15" s="8" t="inlineStr">
        <is>
          <t>Campo calculado por fórmula (não editar)</t>
        </is>
      </c>
      <c r="C15" s="9" t="n"/>
    </row>
    <row r="16">
      <c r="A16" s="11" t="inlineStr">
        <is>
          <t>Verde</t>
        </is>
      </c>
      <c r="B16" s="8" t="inlineStr">
        <is>
          <t>OK — Projeção acima do Estoque Ideal</t>
        </is>
      </c>
      <c r="C16" s="9" t="n"/>
    </row>
    <row r="17">
      <c r="A17" s="12" t="inlineStr">
        <is>
          <t>Amarelo</t>
        </is>
      </c>
      <c r="B17" s="8" t="inlineStr">
        <is>
          <t>Atenção — Projeção abaixo do Ideal</t>
        </is>
      </c>
      <c r="C17" s="9" t="n"/>
    </row>
    <row r="18">
      <c r="A18" s="13" t="inlineStr">
        <is>
          <t>Vermelho</t>
        </is>
      </c>
      <c r="B18" s="8" t="inlineStr">
        <is>
          <t>Ruptura — Projeção negativa</t>
        </is>
      </c>
      <c r="C18" s="9" t="n"/>
    </row>
    <row r="20">
      <c r="A20" s="6" t="inlineStr">
        <is>
          <t>REGRAS DE NEGÓCIO — PLANO S&amp;OE</t>
        </is>
      </c>
    </row>
    <row r="21">
      <c r="A21" s="8" t="inlineStr">
        <is>
          <t>1. Se Proposta Ajuste &lt; 0 E Prog SAP = 0 → Plano S&amp;OE = 0 (não há o que cortar)</t>
        </is>
      </c>
      <c r="B21" s="14" t="n"/>
      <c r="C21" s="9" t="n"/>
    </row>
    <row r="22">
      <c r="A22" s="8" t="inlineStr">
        <is>
          <t>2. Se Estratégia = MTO E Carteira = 0 → Plano S&amp;OE = 0 (sem demanda real)</t>
        </is>
      </c>
      <c r="B22" s="14" t="n"/>
      <c r="C22" s="9" t="n"/>
    </row>
    <row r="23">
      <c r="A23" s="8" t="inlineStr">
        <is>
          <t>3. Caso contrário → Plano S&amp;OE = Proposta de Ajuste Produção</t>
        </is>
      </c>
      <c r="B23" s="14" t="n"/>
      <c r="C23" s="9" t="n"/>
    </row>
    <row r="25">
      <c r="A25" s="6" t="inlineStr">
        <is>
          <t>REGRAS DE ALERTA — OBSERVAÇÃO</t>
        </is>
      </c>
    </row>
    <row r="26">
      <c r="A26" s="8" t="inlineStr">
        <is>
          <t>[RUPTURA] → Projeção de Estoque Final &lt; 0</t>
        </is>
      </c>
      <c r="B26" s="14" t="n"/>
      <c r="C26" s="9" t="n"/>
    </row>
    <row r="27">
      <c r="A27" s="8" t="inlineStr">
        <is>
          <t>[ABAIXO LOTE] → Plano S&amp;OE &gt; 0 porém abaixo do Lote Mínimo</t>
        </is>
      </c>
      <c r="B27" s="14" t="n"/>
      <c r="C27" s="9" t="n"/>
    </row>
    <row r="28">
      <c r="A28" s="8" t="inlineStr">
        <is>
          <t>[MTO] → Item sob pedido (Make-to-Order)</t>
        </is>
      </c>
      <c r="B28" s="14" t="n"/>
      <c r="C28" s="9" t="n"/>
    </row>
    <row r="29">
      <c r="A29" s="8" t="inlineStr">
        <is>
          <t>[FORA CICLO] → Prog SAP = 0 (item não programado no mês)</t>
        </is>
      </c>
      <c r="B29" s="14" t="n"/>
      <c r="C29" s="9" t="n"/>
    </row>
  </sheetData>
  <mergeCells count="16">
    <mergeCell ref="A25:C25"/>
    <mergeCell ref="A28:C28"/>
    <mergeCell ref="B16:C16"/>
    <mergeCell ref="A13:C13"/>
    <mergeCell ref="B15:C15"/>
    <mergeCell ref="A1:C1"/>
    <mergeCell ref="A23:C23"/>
    <mergeCell ref="A22:C22"/>
    <mergeCell ref="A27:C27"/>
    <mergeCell ref="B14:C14"/>
    <mergeCell ref="A21:C21"/>
    <mergeCell ref="B17:C17"/>
    <mergeCell ref="B18:C18"/>
    <mergeCell ref="A20:C20"/>
    <mergeCell ref="A26:C26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8" customWidth="1" min="9" max="9"/>
    <col width="20" customWidth="1" min="10" max="10"/>
    <col width="22" customWidth="1" min="11" max="11"/>
    <col width="22" customWidth="1" min="12" max="12"/>
    <col width="14" customWidth="1" min="13" max="13"/>
    <col width="22" customWidth="1" min="14" max="14"/>
    <col width="20" customWidth="1" min="15" max="15"/>
    <col width="18" customWidth="1" min="16" max="16"/>
    <col width="18" customWidth="1" min="17" max="17"/>
    <col width="20" customWidth="1" min="18" max="18"/>
    <col width="22" customWidth="1" min="19" max="19"/>
    <col width="16" customWidth="1" min="20" max="20"/>
    <col width="20" customWidth="1" min="21" max="21"/>
    <col width="45" customWidth="1" min="22" max="22"/>
  </cols>
  <sheetData>
    <row r="1">
      <c r="A1" s="15" t="inlineStr">
        <is>
          <t>Chave</t>
        </is>
      </c>
      <c r="B1" s="15" t="inlineStr">
        <is>
          <t>Planta</t>
        </is>
      </c>
      <c r="C1" s="15" t="inlineStr">
        <is>
          <t>GPP</t>
        </is>
      </c>
      <c r="D1" s="15" t="inlineStr">
        <is>
          <t>Cod_SKU</t>
        </is>
      </c>
      <c r="E1" s="15" t="inlineStr">
        <is>
          <t>Descricao_SKU</t>
        </is>
      </c>
      <c r="F1" s="15" t="inlineStr">
        <is>
          <t>Estrategia</t>
        </is>
      </c>
      <c r="G1" s="15" t="inlineStr">
        <is>
          <t>Monitorado</t>
        </is>
      </c>
      <c r="H1" s="15" t="inlineStr">
        <is>
          <t>Segmento</t>
        </is>
      </c>
      <c r="I1" s="15" t="inlineStr">
        <is>
          <t>Prog_SAP_Orcado_ton</t>
        </is>
      </c>
      <c r="J1" s="15" t="inlineStr">
        <is>
          <t>Estoque_Livre_Atual_ton</t>
        </is>
      </c>
      <c r="K1" s="15" t="inlineStr">
        <is>
          <t>Demanda_Media_Mensal_ton</t>
        </is>
      </c>
      <c r="L1" s="15" t="inlineStr">
        <is>
          <t>Desvio_Padrao_Demanda_ton</t>
        </is>
      </c>
      <c r="M1" s="15" t="inlineStr">
        <is>
          <t>Carteira_ton</t>
        </is>
      </c>
      <c r="N1" s="15" t="inlineStr">
        <is>
          <t>Demanda_Media_Diaria_ton</t>
        </is>
      </c>
      <c r="O1" s="15" t="inlineStr">
        <is>
          <t>Cobertura_Atual_dias</t>
        </is>
      </c>
      <c r="P1" s="15" t="inlineStr">
        <is>
          <t>Estoque_Ideal_ton</t>
        </is>
      </c>
      <c r="Q1" s="15" t="inlineStr">
        <is>
          <t>Cobertura_Ideal_dias</t>
        </is>
      </c>
      <c r="R1" s="15" t="inlineStr">
        <is>
          <t>Proj_Estoque_Base_ton</t>
        </is>
      </c>
      <c r="S1" s="15" t="inlineStr">
        <is>
          <t>Proposta_Ajuste_Prod_ton</t>
        </is>
      </c>
      <c r="T1" s="15" t="inlineStr">
        <is>
          <t>Plano_SOE_ton</t>
        </is>
      </c>
      <c r="U1" s="15" t="inlineStr">
        <is>
          <t>Proj_Estoque_Final_ton</t>
        </is>
      </c>
      <c r="V1" s="15" t="inlineStr">
        <is>
          <t>Observacao_Alerta</t>
        </is>
      </c>
    </row>
    <row r="2">
      <c r="A2" s="16" t="inlineStr">
        <is>
          <t>FAB1-11111111</t>
        </is>
      </c>
      <c r="B2" s="16" t="inlineStr">
        <is>
          <t>FAB1</t>
        </is>
      </c>
      <c r="C2" s="16" t="inlineStr">
        <is>
          <t>FERRO A</t>
        </is>
      </c>
      <c r="D2" s="17" t="inlineStr">
        <is>
          <t>11111111</t>
        </is>
      </c>
      <c r="E2" s="16" t="inlineStr">
        <is>
          <t>FERRO 1</t>
        </is>
      </c>
      <c r="F2" s="16" t="inlineStr">
        <is>
          <t>MTO</t>
        </is>
      </c>
      <c r="G2" s="16" t="inlineStr">
        <is>
          <t>Não</t>
        </is>
      </c>
      <c r="H2" s="16" t="inlineStr">
        <is>
          <t>RUNNER</t>
        </is>
      </c>
      <c r="I2" s="18" t="n">
        <v>23</v>
      </c>
      <c r="J2" s="18" t="n">
        <v>0</v>
      </c>
      <c r="K2" s="18" t="n">
        <v>233</v>
      </c>
      <c r="L2" s="18" t="n">
        <v>23</v>
      </c>
      <c r="M2" s="18" t="n">
        <v>0</v>
      </c>
      <c r="N2" s="19">
        <f>K2/Parametros!B9</f>
        <v/>
      </c>
      <c r="O2" s="19">
        <f>IFERROR(J2/N2,0)</f>
        <v/>
      </c>
      <c r="P2" s="19">
        <f>N2*Parametros!B6*Parametros!B7+Parametros!B5*L2*SQRT(Parametros!B6/Parametros!B9)</f>
        <v/>
      </c>
      <c r="Q2" s="19">
        <f>IFERROR(P2/N2,0)</f>
        <v/>
      </c>
      <c r="R2" s="19">
        <f>J2+I2-K2</f>
        <v/>
      </c>
      <c r="S2" s="19">
        <f>P2-R2</f>
        <v/>
      </c>
      <c r="T2" s="20">
        <f>IF(AND(S2&lt;0,I2=0),0,IF(AND(F2="MTO",M2=0),0,S2))</f>
        <v/>
      </c>
      <c r="U2" s="19">
        <f>J2+IF(T2&gt;0,T2,I2)-K2</f>
        <v/>
      </c>
      <c r="V2" s="21">
        <f>TRIM(IF(U2&lt;0,"[RUPTURA] Estoque Final negativo ","")&amp;IF(AND(T2&gt;0,T2&lt;Parametros!B10),"[ABAIXO LOTE] Min "&amp;TEXT(Parametros!B10,"#,##0")&amp;"t ","")&amp;IF(F2="MTO","[MTO] Sob pedido ","")&amp;IF(I2=0,"[FORA CICLO] Nao produz no mes",""))</f>
        <v/>
      </c>
    </row>
    <row r="3">
      <c r="A3" s="16" t="inlineStr">
        <is>
          <t>FAB2-22222222</t>
        </is>
      </c>
      <c r="B3" s="16" t="inlineStr">
        <is>
          <t>FAB2</t>
        </is>
      </c>
      <c r="C3" s="16" t="inlineStr">
        <is>
          <t>FERRO B</t>
        </is>
      </c>
      <c r="D3" s="17" t="inlineStr">
        <is>
          <t>22222222</t>
        </is>
      </c>
      <c r="E3" s="16" t="inlineStr">
        <is>
          <t>FERRO 2</t>
        </is>
      </c>
      <c r="F3" s="16" t="inlineStr">
        <is>
          <t>MTO</t>
        </is>
      </c>
      <c r="G3" s="16" t="inlineStr">
        <is>
          <t>Não</t>
        </is>
      </c>
      <c r="H3" s="16" t="inlineStr">
        <is>
          <t>RUNNER</t>
        </is>
      </c>
      <c r="I3" s="18" t="n">
        <v>42</v>
      </c>
      <c r="J3" s="18" t="n">
        <v>0</v>
      </c>
      <c r="K3" s="18" t="n">
        <v>3332</v>
      </c>
      <c r="L3" s="18" t="n">
        <v>323</v>
      </c>
      <c r="M3" s="18" t="n">
        <v>0</v>
      </c>
      <c r="N3" s="19">
        <f>K3/Parametros!B9</f>
        <v/>
      </c>
      <c r="O3" s="19">
        <f>IFERROR(J3/N3,0)</f>
        <v/>
      </c>
      <c r="P3" s="19">
        <f>N3*Parametros!B6*Parametros!B7+Parametros!B5*L3*SQRT(Parametros!B6/Parametros!B9)</f>
        <v/>
      </c>
      <c r="Q3" s="19">
        <f>IFERROR(P3/N3,0)</f>
        <v/>
      </c>
      <c r="R3" s="19">
        <f>J3+I3-K3</f>
        <v/>
      </c>
      <c r="S3" s="19">
        <f>P3-R3</f>
        <v/>
      </c>
      <c r="T3" s="20">
        <f>IF(AND(S3&lt;0,I3=0),0,IF(AND(F3="MTO",M3=0),0,S3))</f>
        <v/>
      </c>
      <c r="U3" s="19">
        <f>J3+IF(T3&gt;0,T3,I3)-K3</f>
        <v/>
      </c>
      <c r="V3" s="21">
        <f>TRIM(IF(U3&lt;0,"[RUPTURA] Estoque Final negativo ","")&amp;IF(AND(T3&gt;0,T3&lt;Parametros!B10),"[ABAIXO LOTE] Min "&amp;TEXT(Parametros!B10,"#,##0")&amp;"t ","")&amp;IF(F3="MTO","[MTO] Sob pedido ","")&amp;IF(I3=0,"[FORA CICLO] Nao produz no mes",""))</f>
        <v/>
      </c>
    </row>
    <row r="4">
      <c r="A4" s="16" t="inlineStr">
        <is>
          <t>FAB3-33333333</t>
        </is>
      </c>
      <c r="B4" s="16" t="inlineStr">
        <is>
          <t>FAB3</t>
        </is>
      </c>
      <c r="C4" s="16" t="inlineStr">
        <is>
          <t>FERRO C</t>
        </is>
      </c>
      <c r="D4" s="17" t="inlineStr">
        <is>
          <t>33333333</t>
        </is>
      </c>
      <c r="E4" s="16" t="inlineStr">
        <is>
          <t>FERRO 3</t>
        </is>
      </c>
      <c r="F4" s="16" t="inlineStr">
        <is>
          <t>MTS</t>
        </is>
      </c>
      <c r="G4" s="16" t="inlineStr">
        <is>
          <t>Sim</t>
        </is>
      </c>
      <c r="H4" s="16" t="inlineStr">
        <is>
          <t>RUNNER</t>
        </is>
      </c>
      <c r="I4" s="18" t="n">
        <v>33</v>
      </c>
      <c r="J4" s="18" t="n">
        <v>23</v>
      </c>
      <c r="K4" s="18" t="n">
        <v>232</v>
      </c>
      <c r="L4" s="18" t="n">
        <v>445</v>
      </c>
      <c r="M4" s="18" t="n">
        <v>0</v>
      </c>
      <c r="N4" s="19">
        <f>K4/Parametros!B9</f>
        <v/>
      </c>
      <c r="O4" s="19">
        <f>IFERROR(J4/N4,0)</f>
        <v/>
      </c>
      <c r="P4" s="19">
        <f>N4*Parametros!B6*Parametros!B7+Parametros!B5*L4*SQRT(Parametros!B6/Parametros!B9)</f>
        <v/>
      </c>
      <c r="Q4" s="19">
        <f>IFERROR(P4/N4,0)</f>
        <v/>
      </c>
      <c r="R4" s="19">
        <f>J4+I4-K4</f>
        <v/>
      </c>
      <c r="S4" s="19">
        <f>P4-R4</f>
        <v/>
      </c>
      <c r="T4" s="20">
        <f>IF(AND(S4&lt;0,I4=0),0,IF(AND(F4="MTO",M4=0),0,S4))</f>
        <v/>
      </c>
      <c r="U4" s="19">
        <f>J4+IF(T4&gt;0,T4,I4)-K4</f>
        <v/>
      </c>
      <c r="V4" s="21">
        <f>TRIM(IF(U4&lt;0,"[RUPTURA] Estoque Final negativo ","")&amp;IF(AND(T4&gt;0,T4&lt;Parametros!B10),"[ABAIXO LOTE] Min "&amp;TEXT(Parametros!B10,"#,##0")&amp;"t ","")&amp;IF(F4="MTO","[MTO] Sob pedido ","")&amp;IF(I4=0,"[FORA CICLO] Nao produz no mes",""))</f>
        <v/>
      </c>
    </row>
    <row r="5">
      <c r="A5" s="16" t="inlineStr">
        <is>
          <t>FAB4-04444444</t>
        </is>
      </c>
      <c r="B5" s="16" t="inlineStr">
        <is>
          <t>FAB4</t>
        </is>
      </c>
      <c r="C5" s="16" t="inlineStr">
        <is>
          <t>FERRO D</t>
        </is>
      </c>
      <c r="D5" s="17" t="inlineStr">
        <is>
          <t>04444444</t>
        </is>
      </c>
      <c r="E5" s="16" t="inlineStr">
        <is>
          <t>FERRO 4</t>
        </is>
      </c>
      <c r="F5" s="16" t="inlineStr">
        <is>
          <t>MTS</t>
        </is>
      </c>
      <c r="G5" s="16" t="inlineStr">
        <is>
          <t>Sim</t>
        </is>
      </c>
      <c r="H5" s="16" t="inlineStr">
        <is>
          <t>RUNNER</t>
        </is>
      </c>
      <c r="I5" s="18" t="n">
        <v>222</v>
      </c>
      <c r="J5" s="18" t="n">
        <v>11</v>
      </c>
      <c r="K5" s="18" t="n">
        <v>323</v>
      </c>
      <c r="L5" s="18" t="n">
        <v>553</v>
      </c>
      <c r="M5" s="18" t="n">
        <v>0</v>
      </c>
      <c r="N5" s="19">
        <f>K5/Parametros!B9</f>
        <v/>
      </c>
      <c r="O5" s="19">
        <f>IFERROR(J5/N5,0)</f>
        <v/>
      </c>
      <c r="P5" s="19">
        <f>N5*Parametros!B6*Parametros!B7+Parametros!B5*L5*SQRT(Parametros!B6/Parametros!B9)</f>
        <v/>
      </c>
      <c r="Q5" s="19">
        <f>IFERROR(P5/N5,0)</f>
        <v/>
      </c>
      <c r="R5" s="19">
        <f>J5+I5-K5</f>
        <v/>
      </c>
      <c r="S5" s="19">
        <f>P5-R5</f>
        <v/>
      </c>
      <c r="T5" s="20">
        <f>IF(AND(S5&lt;0,I5=0),0,IF(AND(F5="MTO",M5=0),0,S5))</f>
        <v/>
      </c>
      <c r="U5" s="19">
        <f>J5+IF(T5&gt;0,T5,I5)-K5</f>
        <v/>
      </c>
      <c r="V5" s="21">
        <f>TRIM(IF(U5&lt;0,"[RUPTURA] Estoque Final negativo ","")&amp;IF(AND(T5&gt;0,T5&lt;Parametros!B10),"[ABAIXO LOTE] Min "&amp;TEXT(Parametros!B10,"#,##0")&amp;"t ","")&amp;IF(F5="MTO","[MTO] Sob pedido ","")&amp;IF(I5=0,"[FORA CICLO] Nao produz no mes",""))</f>
        <v/>
      </c>
    </row>
    <row r="6">
      <c r="A6" s="16" t="inlineStr">
        <is>
          <t>FAB5-05555555</t>
        </is>
      </c>
      <c r="B6" s="16" t="inlineStr">
        <is>
          <t>FAB5</t>
        </is>
      </c>
      <c r="C6" s="16" t="inlineStr">
        <is>
          <t>FERRO E</t>
        </is>
      </c>
      <c r="D6" s="17" t="inlineStr">
        <is>
          <t>05555555</t>
        </is>
      </c>
      <c r="E6" s="16" t="inlineStr">
        <is>
          <t>FERRO 5</t>
        </is>
      </c>
      <c r="F6" s="16" t="inlineStr">
        <is>
          <t>MTO</t>
        </is>
      </c>
      <c r="G6" s="16" t="inlineStr">
        <is>
          <t>Não</t>
        </is>
      </c>
      <c r="H6" s="16" t="inlineStr">
        <is>
          <t>RUNNER</t>
        </is>
      </c>
      <c r="I6" s="18" t="n">
        <v>43</v>
      </c>
      <c r="J6" s="18" t="n">
        <v>98</v>
      </c>
      <c r="K6" s="18" t="n">
        <v>978</v>
      </c>
      <c r="L6" s="18" t="n">
        <v>4</v>
      </c>
      <c r="M6" s="18" t="n">
        <v>0</v>
      </c>
      <c r="N6" s="19">
        <f>K6/Parametros!B9</f>
        <v/>
      </c>
      <c r="O6" s="19">
        <f>IFERROR(J6/N6,0)</f>
        <v/>
      </c>
      <c r="P6" s="19">
        <f>N6*Parametros!B6*Parametros!B7+Parametros!B5*L6*SQRT(Parametros!B6/Parametros!B9)</f>
        <v/>
      </c>
      <c r="Q6" s="19">
        <f>IFERROR(P6/N6,0)</f>
        <v/>
      </c>
      <c r="R6" s="19">
        <f>J6+I6-K6</f>
        <v/>
      </c>
      <c r="S6" s="19">
        <f>P6-R6</f>
        <v/>
      </c>
      <c r="T6" s="20">
        <f>IF(AND(S6&lt;0,I6=0),0,IF(AND(F6="MTO",M6=0),0,S6))</f>
        <v/>
      </c>
      <c r="U6" s="19">
        <f>J6+IF(T6&gt;0,T6,I6)-K6</f>
        <v/>
      </c>
      <c r="V6" s="21">
        <f>TRIM(IF(U6&lt;0,"[RUPTURA] Estoque Final negativo ","")&amp;IF(AND(T6&gt;0,T6&lt;Parametros!B10),"[ABAIXO LOTE] Min "&amp;TEXT(Parametros!B10,"#,##0")&amp;"t ","")&amp;IF(F6="MTO","[MTO] Sob pedido ","")&amp;IF(I6=0,"[FORA CICLO] Nao produz no mes",""))</f>
        <v/>
      </c>
    </row>
    <row r="7">
      <c r="A7" s="15" t="inlineStr">
        <is>
          <t>TOTAL</t>
        </is>
      </c>
      <c r="B7" s="22" t="n"/>
      <c r="C7" s="22" t="n"/>
      <c r="D7" s="22" t="n"/>
      <c r="E7" s="22" t="n"/>
      <c r="F7" s="22" t="n"/>
      <c r="G7" s="22" t="n"/>
      <c r="H7" s="22" t="n"/>
      <c r="I7" s="23">
        <f>SUM(I2:I6)</f>
        <v/>
      </c>
      <c r="J7" s="23">
        <f>SUM(J2:J6)</f>
        <v/>
      </c>
      <c r="K7" s="23">
        <f>SUM(K2:K6)</f>
        <v/>
      </c>
      <c r="L7" s="23">
        <f>SUM(L2:L6)</f>
        <v/>
      </c>
      <c r="M7" s="23">
        <f>SUM(M2:M6)</f>
        <v/>
      </c>
      <c r="N7" s="22" t="n"/>
      <c r="O7" s="22" t="n"/>
      <c r="P7" s="22" t="n"/>
      <c r="Q7" s="22" t="n"/>
      <c r="R7" s="23">
        <f>SUM(R2:R6)</f>
        <v/>
      </c>
      <c r="S7" s="23">
        <f>SUM(S2:S6)</f>
        <v/>
      </c>
      <c r="T7" s="23">
        <f>SUM(T2:T6)</f>
        <v/>
      </c>
      <c r="U7" s="23">
        <f>SUM(U2:U6)</f>
        <v/>
      </c>
      <c r="V7" s="22" t="n"/>
    </row>
  </sheetData>
  <autoFilter ref="A1:V6"/>
  <mergeCells count="1">
    <mergeCell ref="A7:H7"/>
  </mergeCells>
  <conditionalFormatting sqref="T2:T6">
    <cfRule type="cellIs" priority="1" operator="equal" dxfId="0">
      <formula>0</formula>
    </cfRule>
    <cfRule type="cellIs" priority="2" operator="greaterThan" dxfId="1">
      <formula>0</formula>
    </cfRule>
  </conditionalFormatting>
  <conditionalFormatting sqref="U2:U6">
    <cfRule type="cellIs" priority="3" operator="lessThan" dxfId="2">
      <formula>0</formula>
    </cfRule>
    <cfRule type="cellIs" priority="4" operator="greaterThanOrEqual" dxfId="1">
      <formula>0</formula>
    </cfRule>
  </conditionalFormatting>
  <conditionalFormatting sqref="R2:R6">
    <cfRule type="cellIs" priority="5" operator="lessThan" dxfId="2">
      <formula>0</formula>
    </cfRule>
  </conditionalFormatting>
  <conditionalFormatting sqref="O2:O6">
    <cfRule type="cellIs" priority="6" operator="lessThan" dxfId="0">
      <formula>7</formula>
    </cfRule>
  </conditionalFormatting>
  <conditionalFormatting sqref="V2:V6">
    <cfRule type="expression" priority="7" dxfId="3">
      <formula>ISNUMBER(SEARCH("RUPTURA",V2))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0" customWidth="1" min="3" max="3"/>
    <col width="20" customWidth="1" min="4" max="4"/>
  </cols>
  <sheetData>
    <row r="1">
      <c r="A1" s="24" t="inlineStr">
        <is>
          <t>RESUMO EXECUTIVO — PLANO S&amp;OE</t>
        </is>
      </c>
    </row>
    <row r="3">
      <c r="A3" s="2" t="inlineStr">
        <is>
          <t>INDICADORES-CHAVE</t>
        </is>
      </c>
      <c r="B3" s="25" t="n"/>
    </row>
    <row r="4">
      <c r="A4" s="3" t="inlineStr">
        <is>
          <t>Total SKUs</t>
        </is>
      </c>
      <c r="B4" s="26">
        <f>COUNTA('Plano S&amp;OE'!A2:A6)</f>
        <v/>
      </c>
    </row>
    <row r="5">
      <c r="A5" s="3" t="inlineStr">
        <is>
          <t>SKUs em Ruptura (Proj Final &lt; 0)</t>
        </is>
      </c>
      <c r="B5" s="26">
        <f>COUNTIF('Plano S&amp;OE'!U2:U6,"&lt;0")</f>
        <v/>
      </c>
    </row>
    <row r="6">
      <c r="A6" s="3" t="inlineStr">
        <is>
          <t>SKUs com Plano S&amp;OE = 0</t>
        </is>
      </c>
      <c r="B6" s="26">
        <f>COUNTIF('Plano S&amp;OE'!T2:T6,0)</f>
        <v/>
      </c>
    </row>
    <row r="7">
      <c r="A7" s="3" t="inlineStr">
        <is>
          <t>SKUs com Plano S&amp;OE &gt; 0</t>
        </is>
      </c>
      <c r="B7" s="26">
        <f>COUNTIF('Plano S&amp;OE'!T2:T6,"&gt;0")</f>
        <v/>
      </c>
    </row>
    <row r="8">
      <c r="A8" s="3" t="inlineStr">
        <is>
          <t>Demanda Total (ton)</t>
        </is>
      </c>
      <c r="B8" s="26">
        <f>SUM('Plano S&amp;OE'!K2:K6)</f>
        <v/>
      </c>
    </row>
    <row r="9">
      <c r="A9" s="3" t="inlineStr">
        <is>
          <t>Produção SAP Total (ton)</t>
        </is>
      </c>
      <c r="B9" s="26">
        <f>SUM('Plano S&amp;OE'!I2:I6)</f>
        <v/>
      </c>
    </row>
    <row r="10">
      <c r="A10" s="3" t="inlineStr">
        <is>
          <t>Gap SAP vs Demanda (ton)</t>
        </is>
      </c>
      <c r="B10" s="26">
        <f>SUM('Plano S&amp;OE'!I2:I6)-SUM('Plano S&amp;OE'!K2:K6)</f>
        <v/>
      </c>
    </row>
    <row r="11">
      <c r="A11" s="3" t="inlineStr">
        <is>
          <t>Plano S&amp;OE Total (ton)</t>
        </is>
      </c>
      <c r="B11" s="26">
        <f>SUM('Plano S&amp;OE'!T2:T6)</f>
        <v/>
      </c>
    </row>
    <row r="12">
      <c r="A12" s="3" t="inlineStr">
        <is>
          <t>Ajuste Total Proposto (ton)</t>
        </is>
      </c>
      <c r="B12" s="26">
        <f>SUM('Plano S&amp;OE'!S2:S6)</f>
        <v/>
      </c>
    </row>
    <row r="14">
      <c r="A14" s="27" t="inlineStr">
        <is>
          <t>RISCOS IDENTIFICADOS</t>
        </is>
      </c>
      <c r="B14" s="28" t="n"/>
      <c r="C14" s="28" t="n"/>
      <c r="D14" s="29" t="n"/>
    </row>
    <row r="15">
      <c r="A15" s="30" t="inlineStr">
        <is>
          <t xml:space="preserve">  100% dos SKUs projetam ruptura sem intervenção do Plano S&amp;OE</t>
        </is>
      </c>
    </row>
    <row r="16">
      <c r="A16" s="30" t="inlineStr">
        <is>
          <t xml:space="preserve">  Programação SAP cobre apenas 3-10% da demanda mensal</t>
        </is>
      </c>
    </row>
    <row r="17">
      <c r="A17" s="30" t="inlineStr">
        <is>
          <t xml:space="preserve">  Itens MTS monitorados (FERRO 3, 4) com cobertura &lt; 3 dias</t>
        </is>
      </c>
    </row>
    <row r="18">
      <c r="A18" s="30" t="inlineStr">
        <is>
          <t xml:space="preserve">  Desvio padrão &gt; média em FERRO 3 e FERRO 4 — revisar base histórica</t>
        </is>
      </c>
    </row>
    <row r="19">
      <c r="A19" s="30" t="inlineStr">
        <is>
          <t xml:space="preserve">  Todos os itens MTO com carteira zerada — sem demanda real registrada</t>
        </is>
      </c>
    </row>
    <row r="21">
      <c r="A21" s="31" t="inlineStr">
        <is>
          <t>AÇÕES RECOMENDADAS</t>
        </is>
      </c>
      <c r="B21" s="32" t="n"/>
      <c r="C21" s="32" t="n"/>
      <c r="D21" s="33" t="n"/>
    </row>
    <row r="22">
      <c r="A22" s="34" t="inlineStr">
        <is>
          <t>URGENTE</t>
        </is>
      </c>
      <c r="B22" s="8" t="inlineStr">
        <is>
          <t>Registrar carteira real para itens MTO — libera cálculo do Plano S&amp;OE</t>
        </is>
      </c>
      <c r="C22" s="14" t="n"/>
      <c r="D22" s="9" t="n"/>
    </row>
    <row r="23">
      <c r="A23" s="34" t="inlineStr">
        <is>
          <t>URGENTE</t>
        </is>
      </c>
      <c r="B23" s="8" t="inlineStr">
        <is>
          <t>Realinhar programação SAP — gap de ~4.700 ton vs demanda</t>
        </is>
      </c>
      <c r="C23" s="14" t="n"/>
      <c r="D23" s="9" t="n"/>
    </row>
    <row r="24">
      <c r="A24" s="35" t="inlineStr">
        <is>
          <t>ALTO</t>
        </is>
      </c>
      <c r="B24" s="8" t="inlineStr">
        <is>
          <t>Revisar histórico de demanda de FERRO 3 e 4 (σ &gt; média)</t>
        </is>
      </c>
      <c r="C24" s="14" t="n"/>
      <c r="D24" s="9" t="n"/>
    </row>
    <row r="25">
      <c r="A25" s="36" t="inlineStr">
        <is>
          <t>MÉDIO</t>
        </is>
      </c>
      <c r="B25" s="8" t="inlineStr">
        <is>
          <t>Diferenciar NS por estratégia (MTS=99%, MTO=por carteira)</t>
        </is>
      </c>
      <c r="C25" s="14" t="n"/>
      <c r="D25" s="9" t="n"/>
    </row>
    <row r="26">
      <c r="A26" s="36" t="inlineStr">
        <is>
          <t>MÉDIO</t>
        </is>
      </c>
      <c r="B26" s="8" t="inlineStr">
        <is>
          <t>Ajustar Lote Mínimo por SKU se necessário (atual: 600t global)</t>
        </is>
      </c>
      <c r="C26" s="14" t="n"/>
      <c r="D26" s="9" t="n"/>
    </row>
    <row r="27">
      <c r="A27" s="36" t="inlineStr">
        <is>
          <t>BAIXO</t>
        </is>
      </c>
      <c r="B27" s="8" t="inlineStr">
        <is>
          <t>Incluir segmentos STRANGER/REPEATER se aplicável</t>
        </is>
      </c>
      <c r="C27" s="14" t="n"/>
      <c r="D27" s="9" t="n"/>
    </row>
  </sheetData>
  <mergeCells count="15">
    <mergeCell ref="A1:D1"/>
    <mergeCell ref="A17:D17"/>
    <mergeCell ref="A18:D18"/>
    <mergeCell ref="B23:D23"/>
    <mergeCell ref="B22:D22"/>
    <mergeCell ref="A21:D21"/>
    <mergeCell ref="B26:D26"/>
    <mergeCell ref="A15:D15"/>
    <mergeCell ref="B27:D27"/>
    <mergeCell ref="A16:D16"/>
    <mergeCell ref="A19:D19"/>
    <mergeCell ref="B25:D25"/>
    <mergeCell ref="A3:B3"/>
    <mergeCell ref="B24:D24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2026-07-02T05:37:22Z</dcterms:created>
  <dcterms:modified xsi:type="dcterms:W3CDTF">2026-07-02T05:37:22Z</dcterms:modified>
</cp:coreProperties>
</file>