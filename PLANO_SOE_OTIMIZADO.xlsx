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os" sheetId="1" state="visible" r:id="rId1"/>
    <sheet name="Plano S&amp;OE" sheetId="2" state="visible" r:id="rId2"/>
    <sheet name="Analise_Resumo" sheetId="3" state="visible" r:id="rId3"/>
  </sheets>
  <definedNames>
    <definedName name="_xlnm._FilterDatabase" localSheetId="1" hidden="1">'Plano S&amp;OE'!$A$1:$U$6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1F4E79"/>
      <sz val="12"/>
    </font>
    <font>
      <name val="Calibri"/>
      <sz val="10"/>
    </font>
    <font>
      <name val="Calibri"/>
      <b val="1"/>
      <color rgb="001F4E79"/>
      <sz val="11"/>
    </font>
    <font>
      <name val="Calibri"/>
      <b val="1"/>
      <color rgb="00FFFFFF"/>
      <sz val="10"/>
    </font>
    <font>
      <name val="Calibri"/>
      <color rgb="001F4E79"/>
      <sz val="10"/>
    </font>
    <font>
      <name val="Calibri"/>
      <b val="1"/>
      <color rgb="001F4E79"/>
      <sz val="16"/>
    </font>
    <font>
      <name val="Calibri"/>
      <b val="1"/>
      <color rgb="00FFFFFF"/>
      <sz val="12"/>
    </font>
    <font>
      <name val="Calibri"/>
      <color rgb="00C000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color rgb="00006100"/>
      <sz val="10"/>
    </font>
  </fonts>
  <fills count="13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DEEAF6"/>
        <bgColor rgb="00DEEAF6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  <fill>
      <patternFill patternType="solid">
        <fgColor rgb="00C00000"/>
        <bgColor rgb="00C00000"/>
      </patternFill>
    </fill>
    <fill>
      <patternFill patternType="solid">
        <fgColor rgb="0000B050"/>
        <bgColor rgb="0000B050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49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right" vertical="center"/>
    </xf>
    <xf numFmtId="4" fontId="5" fillId="6" borderId="1" applyAlignment="1" pivotButton="0" quotePrefix="0" xfId="0">
      <alignment horizontal="right" vertical="center"/>
    </xf>
    <xf numFmtId="0" fontId="0" fillId="10" borderId="1" pivotButton="0" quotePrefix="0" xfId="0"/>
    <xf numFmtId="4" fontId="7" fillId="10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2" borderId="0" pivotButton="0" quotePrefix="0" xfId="0"/>
    <xf numFmtId="0" fontId="0" fillId="2" borderId="0" pivotButton="0" quotePrefix="0" xfId="0"/>
    <xf numFmtId="0" fontId="5" fillId="0" borderId="1" pivotButton="0" quotePrefix="0" xfId="0"/>
    <xf numFmtId="4" fontId="4" fillId="4" borderId="1" applyAlignment="1" pivotButton="0" quotePrefix="0" xfId="0">
      <alignment horizontal="center" vertical="center" wrapText="1"/>
    </xf>
    <xf numFmtId="0" fontId="10" fillId="11" borderId="0" pivotButton="0" quotePrefix="0" xfId="0"/>
    <xf numFmtId="0" fontId="0" fillId="11" borderId="0" pivotButton="0" quotePrefix="0" xfId="0"/>
    <xf numFmtId="0" fontId="11" fillId="0" borderId="0" pivotButton="0" quotePrefix="0" xfId="0"/>
    <xf numFmtId="0" fontId="10" fillId="12" borderId="0" pivotButton="0" quotePrefix="0" xfId="0"/>
    <xf numFmtId="0" fontId="0" fillId="12" borderId="0" pivotButton="0" quotePrefix="0" xfId="0"/>
    <xf numFmtId="0" fontId="12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</cols>
  <sheetData>
    <row r="1">
      <c r="A1" s="1" t="inlineStr">
        <is>
          <t>PARÂMETROS DO MODELO S&amp;OE</t>
        </is>
      </c>
    </row>
    <row r="3">
      <c r="A3" s="2" t="inlineStr">
        <is>
          <t>Parâmetro</t>
        </is>
      </c>
      <c r="B3" s="2" t="inlineStr">
        <is>
          <t>Valor</t>
        </is>
      </c>
      <c r="C3" s="2" t="inlineStr">
        <is>
          <t>Unidade</t>
        </is>
      </c>
    </row>
    <row r="4">
      <c r="A4" s="3" t="inlineStr">
        <is>
          <t>Nível de Serviço (%)</t>
        </is>
      </c>
      <c r="B4" s="4" t="n">
        <v>99</v>
      </c>
      <c r="C4" s="5" t="inlineStr">
        <is>
          <t>%</t>
        </is>
      </c>
    </row>
    <row r="5">
      <c r="A5" s="3" t="inlineStr">
        <is>
          <t>Z-Score (NS)</t>
        </is>
      </c>
      <c r="B5" s="4" t="n">
        <v>2.33</v>
      </c>
      <c r="C5" s="5" t="inlineStr"/>
    </row>
    <row r="6">
      <c r="A6" s="3" t="inlineStr">
        <is>
          <t>Lead Time Padrão (dias)</t>
        </is>
      </c>
      <c r="B6" s="4" t="n">
        <v>30</v>
      </c>
      <c r="C6" s="5" t="inlineStr">
        <is>
          <t>dias</t>
        </is>
      </c>
    </row>
    <row r="7">
      <c r="A7" s="3" t="inlineStr">
        <is>
          <t>Fator de Segurança (k)</t>
        </is>
      </c>
      <c r="B7" s="4" t="n">
        <v>1.2</v>
      </c>
      <c r="C7" s="5" t="inlineStr"/>
    </row>
    <row r="8">
      <c r="A8" s="3" t="inlineStr">
        <is>
          <t>Plano S&amp;OP Total (ton)</t>
        </is>
      </c>
      <c r="B8" s="4" t="n">
        <v>4607</v>
      </c>
      <c r="C8" s="5" t="inlineStr">
        <is>
          <t>ton</t>
        </is>
      </c>
    </row>
    <row r="9">
      <c r="A9" s="3" t="inlineStr">
        <is>
          <t>Dias Úteis no Mês</t>
        </is>
      </c>
      <c r="B9" s="4" t="n">
        <v>30</v>
      </c>
      <c r="C9" s="5" t="inlineStr">
        <is>
          <t>dias</t>
        </is>
      </c>
    </row>
    <row r="11">
      <c r="A11" s="6" t="inlineStr">
        <is>
          <t>LEGENDA DE CORES — Aba Plano S&amp;OE</t>
        </is>
      </c>
    </row>
    <row r="12">
      <c r="A12" s="7" t="inlineStr">
        <is>
          <t>Azul claro</t>
        </is>
      </c>
      <c r="B12" s="8" t="inlineStr">
        <is>
          <t>Campo de entrada (usuário preenche)</t>
        </is>
      </c>
    </row>
    <row r="13">
      <c r="A13" s="9" t="inlineStr">
        <is>
          <t>Cinza claro</t>
        </is>
      </c>
      <c r="B13" s="8" t="inlineStr">
        <is>
          <t>Campo calculado por fórmula (não editar)</t>
        </is>
      </c>
    </row>
    <row r="14">
      <c r="A14" s="10" t="inlineStr">
        <is>
          <t>Verde</t>
        </is>
      </c>
      <c r="B14" s="8" t="inlineStr">
        <is>
          <t>OK — Projeção acima do Estoque Ideal</t>
        </is>
      </c>
    </row>
    <row r="15">
      <c r="A15" s="11" t="inlineStr">
        <is>
          <t>Amarelo</t>
        </is>
      </c>
      <c r="B15" s="8" t="inlineStr">
        <is>
          <t>Atenção — Projeção abaixo do Ideal</t>
        </is>
      </c>
    </row>
    <row r="16">
      <c r="A16" s="12" t="inlineStr">
        <is>
          <t>Vermelho</t>
        </is>
      </c>
      <c r="B16" s="8" t="inlineStr">
        <is>
          <t>Ruptura — Projeção negativa</t>
        </is>
      </c>
    </row>
  </sheetData>
  <mergeCells count="7">
    <mergeCell ref="B13:C13"/>
    <mergeCell ref="B16:C16"/>
    <mergeCell ref="A11:C11"/>
    <mergeCell ref="B15:C15"/>
    <mergeCell ref="A1:C1"/>
    <mergeCell ref="B14:C1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16" customWidth="1" min="9" max="9"/>
    <col width="14" customWidth="1" min="10" max="10"/>
    <col width="18" customWidth="1" min="11" max="11"/>
    <col width="20" customWidth="1" min="12" max="12"/>
    <col width="22" customWidth="1" min="13" max="13"/>
    <col width="22" customWidth="1" min="14" max="14"/>
    <col width="22" customWidth="1" min="15" max="15"/>
    <col width="20" customWidth="1" min="16" max="16"/>
    <col width="18" customWidth="1" min="17" max="17"/>
    <col width="18" customWidth="1" min="18" max="18"/>
    <col width="22" customWidth="1" min="19" max="19"/>
    <col width="14" customWidth="1" min="20" max="20"/>
    <col width="14" customWidth="1" min="21" max="21"/>
  </cols>
  <sheetData>
    <row r="1">
      <c r="A1" s="13" t="inlineStr">
        <is>
          <t>Chave</t>
        </is>
      </c>
      <c r="B1" s="13" t="inlineStr">
        <is>
          <t>Planta</t>
        </is>
      </c>
      <c r="C1" s="13" t="inlineStr">
        <is>
          <t>GPP</t>
        </is>
      </c>
      <c r="D1" s="13" t="inlineStr">
        <is>
          <t>Cod_SKU</t>
        </is>
      </c>
      <c r="E1" s="13" t="inlineStr">
        <is>
          <t>Descricao_SKU</t>
        </is>
      </c>
      <c r="F1" s="13" t="inlineStr">
        <is>
          <t>Estrategia</t>
        </is>
      </c>
      <c r="G1" s="13" t="inlineStr">
        <is>
          <t>Monitorado</t>
        </is>
      </c>
      <c r="H1" s="13" t="inlineStr">
        <is>
          <t>Segmento</t>
        </is>
      </c>
      <c r="I1" s="13" t="inlineStr">
        <is>
          <t>Plano_SOE_ton</t>
        </is>
      </c>
      <c r="J1" s="13" t="inlineStr">
        <is>
          <t>Prog_SAP_ton</t>
        </is>
      </c>
      <c r="K1" s="13" t="inlineStr">
        <is>
          <t>Estoque_Atual_ton</t>
        </is>
      </c>
      <c r="L1" s="13" t="inlineStr">
        <is>
          <t>Cobertura_Atual_dias</t>
        </is>
      </c>
      <c r="M1" s="13" t="inlineStr">
        <is>
          <t>Demanda_Media_Mensal_ton</t>
        </is>
      </c>
      <c r="N1" s="13" t="inlineStr">
        <is>
          <t>Demanda_Media_Diaria_ton</t>
        </is>
      </c>
      <c r="O1" s="13" t="inlineStr">
        <is>
          <t>Desvio_Padrao_Demanda_ton</t>
        </is>
      </c>
      <c r="P1" s="13" t="inlineStr">
        <is>
          <t>Proj_Estoque_Final_ton</t>
        </is>
      </c>
      <c r="Q1" s="13" t="inlineStr">
        <is>
          <t>Estoque_Ideal_ton</t>
        </is>
      </c>
      <c r="R1" s="13" t="inlineStr">
        <is>
          <t>Cobertura_Ideal_dias</t>
        </is>
      </c>
      <c r="S1" s="13" t="inlineStr">
        <is>
          <t>Proposta_Ajuste_Prod_ton</t>
        </is>
      </c>
      <c r="T1" s="13" t="inlineStr">
        <is>
          <t>Carteira_ton</t>
        </is>
      </c>
      <c r="U1" s="13" t="inlineStr">
        <is>
          <t>Status</t>
        </is>
      </c>
    </row>
    <row r="2">
      <c r="A2" s="14" t="inlineStr">
        <is>
          <t>FAB1-11111111</t>
        </is>
      </c>
      <c r="B2" s="14" t="inlineStr">
        <is>
          <t>FAB1</t>
        </is>
      </c>
      <c r="C2" s="14" t="inlineStr">
        <is>
          <t>FERRO A</t>
        </is>
      </c>
      <c r="D2" s="15" t="inlineStr">
        <is>
          <t>11111111</t>
        </is>
      </c>
      <c r="E2" s="14" t="inlineStr">
        <is>
          <t>FERRO 1</t>
        </is>
      </c>
      <c r="F2" s="14" t="inlineStr">
        <is>
          <t>MTO</t>
        </is>
      </c>
      <c r="G2" s="14" t="inlineStr">
        <is>
          <t>Não</t>
        </is>
      </c>
      <c r="H2" s="14" t="inlineStr">
        <is>
          <t>RUNNER</t>
        </is>
      </c>
      <c r="I2" s="16" t="n"/>
      <c r="J2" s="16" t="n">
        <v>23</v>
      </c>
      <c r="K2" s="16" t="n">
        <v>0</v>
      </c>
      <c r="L2" s="17">
        <f>IFERROR(K2/N2,0)</f>
        <v/>
      </c>
      <c r="M2" s="16" t="n">
        <v>233</v>
      </c>
      <c r="N2" s="17">
        <f>M2/Parametros!B9</f>
        <v/>
      </c>
      <c r="O2" s="16" t="n">
        <v>23</v>
      </c>
      <c r="P2" s="17">
        <f>K2+IF(ISNUMBER(I2),I2,J2)-M2</f>
        <v/>
      </c>
      <c r="Q2" s="17">
        <f>N2*Parametros!B6*Parametros!B7+Parametros!B5*O2*SQRT(Parametros!B6/Parametros!B9)</f>
        <v/>
      </c>
      <c r="R2" s="17">
        <f>IFERROR(Q2/N2,0)</f>
        <v/>
      </c>
      <c r="S2" s="17">
        <f>IFERROR(Q2-P2,0)</f>
        <v/>
      </c>
      <c r="T2" s="16" t="n"/>
      <c r="U2" s="9">
        <f>IF(P2&lt;0,"RUPTURA",IF(P2&lt;Q2,"ATENCAO","OK"))</f>
        <v/>
      </c>
    </row>
    <row r="3">
      <c r="A3" s="14" t="inlineStr">
        <is>
          <t>FAB2-22222222</t>
        </is>
      </c>
      <c r="B3" s="14" t="inlineStr">
        <is>
          <t>FAB2</t>
        </is>
      </c>
      <c r="C3" s="14" t="inlineStr">
        <is>
          <t>FERRO B</t>
        </is>
      </c>
      <c r="D3" s="15" t="inlineStr">
        <is>
          <t>22222222</t>
        </is>
      </c>
      <c r="E3" s="14" t="inlineStr">
        <is>
          <t>FERRO 2</t>
        </is>
      </c>
      <c r="F3" s="14" t="inlineStr">
        <is>
          <t>MTO</t>
        </is>
      </c>
      <c r="G3" s="14" t="inlineStr">
        <is>
          <t>Não</t>
        </is>
      </c>
      <c r="H3" s="14" t="inlineStr">
        <is>
          <t>RUNNER</t>
        </is>
      </c>
      <c r="I3" s="16" t="n"/>
      <c r="J3" s="16" t="n">
        <v>42</v>
      </c>
      <c r="K3" s="16" t="n">
        <v>0</v>
      </c>
      <c r="L3" s="17">
        <f>IFERROR(K3/N3,0)</f>
        <v/>
      </c>
      <c r="M3" s="16" t="n">
        <v>3332</v>
      </c>
      <c r="N3" s="17">
        <f>M3/Parametros!B9</f>
        <v/>
      </c>
      <c r="O3" s="16" t="n">
        <v>323</v>
      </c>
      <c r="P3" s="17">
        <f>K3+IF(ISNUMBER(I3),I3,J3)-M3</f>
        <v/>
      </c>
      <c r="Q3" s="17">
        <f>N3*Parametros!B6*Parametros!B7+Parametros!B5*O3*SQRT(Parametros!B6/Parametros!B9)</f>
        <v/>
      </c>
      <c r="R3" s="17">
        <f>IFERROR(Q3/N3,0)</f>
        <v/>
      </c>
      <c r="S3" s="17">
        <f>IFERROR(Q3-P3,0)</f>
        <v/>
      </c>
      <c r="T3" s="16" t="n"/>
      <c r="U3" s="9">
        <f>IF(P3&lt;0,"RUPTURA",IF(P3&lt;Q3,"ATENCAO","OK"))</f>
        <v/>
      </c>
    </row>
    <row r="4">
      <c r="A4" s="14" t="inlineStr">
        <is>
          <t>FAB3-33333333</t>
        </is>
      </c>
      <c r="B4" s="14" t="inlineStr">
        <is>
          <t>FAB3</t>
        </is>
      </c>
      <c r="C4" s="14" t="inlineStr">
        <is>
          <t>FERRO C</t>
        </is>
      </c>
      <c r="D4" s="15" t="inlineStr">
        <is>
          <t>33333333</t>
        </is>
      </c>
      <c r="E4" s="14" t="inlineStr">
        <is>
          <t>FERRO 3</t>
        </is>
      </c>
      <c r="F4" s="14" t="inlineStr">
        <is>
          <t>MTS</t>
        </is>
      </c>
      <c r="G4" s="14" t="inlineStr">
        <is>
          <t>Sim</t>
        </is>
      </c>
      <c r="H4" s="14" t="inlineStr">
        <is>
          <t>RUNNER</t>
        </is>
      </c>
      <c r="I4" s="16" t="n"/>
      <c r="J4" s="16" t="n">
        <v>33</v>
      </c>
      <c r="K4" s="16" t="n">
        <v>23</v>
      </c>
      <c r="L4" s="17">
        <f>IFERROR(K4/N4,0)</f>
        <v/>
      </c>
      <c r="M4" s="16" t="n">
        <v>232</v>
      </c>
      <c r="N4" s="17">
        <f>M4/Parametros!B9</f>
        <v/>
      </c>
      <c r="O4" s="16" t="n">
        <v>445</v>
      </c>
      <c r="P4" s="17">
        <f>K4+IF(ISNUMBER(I4),I4,J4)-M4</f>
        <v/>
      </c>
      <c r="Q4" s="17">
        <f>N4*Parametros!B6*Parametros!B7+Parametros!B5*O4*SQRT(Parametros!B6/Parametros!B9)</f>
        <v/>
      </c>
      <c r="R4" s="17">
        <f>IFERROR(Q4/N4,0)</f>
        <v/>
      </c>
      <c r="S4" s="17">
        <f>IFERROR(Q4-P4,0)</f>
        <v/>
      </c>
      <c r="T4" s="16" t="n"/>
      <c r="U4" s="9">
        <f>IF(P4&lt;0,"RUPTURA",IF(P4&lt;Q4,"ATENCAO","OK"))</f>
        <v/>
      </c>
    </row>
    <row r="5">
      <c r="A5" s="14" t="inlineStr">
        <is>
          <t>FAB4-04444444</t>
        </is>
      </c>
      <c r="B5" s="14" t="inlineStr">
        <is>
          <t>FAB4</t>
        </is>
      </c>
      <c r="C5" s="14" t="inlineStr">
        <is>
          <t>FERRO D</t>
        </is>
      </c>
      <c r="D5" s="15" t="inlineStr">
        <is>
          <t>04444444</t>
        </is>
      </c>
      <c r="E5" s="14" t="inlineStr">
        <is>
          <t>FERRO 4</t>
        </is>
      </c>
      <c r="F5" s="14" t="inlineStr">
        <is>
          <t>MTS</t>
        </is>
      </c>
      <c r="G5" s="14" t="inlineStr">
        <is>
          <t>Sim</t>
        </is>
      </c>
      <c r="H5" s="14" t="inlineStr">
        <is>
          <t>RUNNER</t>
        </is>
      </c>
      <c r="I5" s="16" t="n"/>
      <c r="J5" s="16" t="n">
        <v>222</v>
      </c>
      <c r="K5" s="16" t="n">
        <v>11</v>
      </c>
      <c r="L5" s="17">
        <f>IFERROR(K5/N5,0)</f>
        <v/>
      </c>
      <c r="M5" s="16" t="n">
        <v>323</v>
      </c>
      <c r="N5" s="17">
        <f>M5/Parametros!B9</f>
        <v/>
      </c>
      <c r="O5" s="16" t="n">
        <v>553</v>
      </c>
      <c r="P5" s="17">
        <f>K5+IF(ISNUMBER(I5),I5,J5)-M5</f>
        <v/>
      </c>
      <c r="Q5" s="17">
        <f>N5*Parametros!B6*Parametros!B7+Parametros!B5*O5*SQRT(Parametros!B6/Parametros!B9)</f>
        <v/>
      </c>
      <c r="R5" s="17">
        <f>IFERROR(Q5/N5,0)</f>
        <v/>
      </c>
      <c r="S5" s="17">
        <f>IFERROR(Q5-P5,0)</f>
        <v/>
      </c>
      <c r="T5" s="16" t="n"/>
      <c r="U5" s="9">
        <f>IF(P5&lt;0,"RUPTURA",IF(P5&lt;Q5,"ATENCAO","OK"))</f>
        <v/>
      </c>
    </row>
    <row r="6">
      <c r="A6" s="14" t="inlineStr">
        <is>
          <t>FAB5-05555555</t>
        </is>
      </c>
      <c r="B6" s="14" t="inlineStr">
        <is>
          <t>FAB5</t>
        </is>
      </c>
      <c r="C6" s="14" t="inlineStr">
        <is>
          <t>FERRO E</t>
        </is>
      </c>
      <c r="D6" s="15" t="inlineStr">
        <is>
          <t>05555555</t>
        </is>
      </c>
      <c r="E6" s="14" t="inlineStr">
        <is>
          <t>FERRO 5</t>
        </is>
      </c>
      <c r="F6" s="14" t="inlineStr">
        <is>
          <t>MTO</t>
        </is>
      </c>
      <c r="G6" s="14" t="inlineStr">
        <is>
          <t>Não</t>
        </is>
      </c>
      <c r="H6" s="14" t="inlineStr">
        <is>
          <t>RUNNER</t>
        </is>
      </c>
      <c r="I6" s="16" t="n"/>
      <c r="J6" s="16" t="n">
        <v>43</v>
      </c>
      <c r="K6" s="16" t="n">
        <v>98</v>
      </c>
      <c r="L6" s="17">
        <f>IFERROR(K6/N6,0)</f>
        <v/>
      </c>
      <c r="M6" s="16" t="n">
        <v>978</v>
      </c>
      <c r="N6" s="17">
        <f>M6/Parametros!B9</f>
        <v/>
      </c>
      <c r="O6" s="16" t="n">
        <v>4</v>
      </c>
      <c r="P6" s="17">
        <f>K6+IF(ISNUMBER(I6),I6,J6)-M6</f>
        <v/>
      </c>
      <c r="Q6" s="17">
        <f>N6*Parametros!B6*Parametros!B7+Parametros!B5*O6*SQRT(Parametros!B6/Parametros!B9)</f>
        <v/>
      </c>
      <c r="R6" s="17">
        <f>IFERROR(Q6/N6,0)</f>
        <v/>
      </c>
      <c r="S6" s="17">
        <f>IFERROR(Q6-P6,0)</f>
        <v/>
      </c>
      <c r="T6" s="16" t="n"/>
      <c r="U6" s="9">
        <f>IF(P6&lt;0,"RUPTURA",IF(P6&lt;Q6,"ATENCAO","OK"))</f>
        <v/>
      </c>
    </row>
    <row r="7">
      <c r="A7" s="13" t="inlineStr">
        <is>
          <t>TOTAL</t>
        </is>
      </c>
      <c r="B7" s="18" t="n"/>
      <c r="C7" s="18" t="n"/>
      <c r="D7" s="18" t="n"/>
      <c r="E7" s="18" t="n"/>
      <c r="F7" s="18" t="n"/>
      <c r="G7" s="18" t="n"/>
      <c r="H7" s="18" t="n"/>
      <c r="I7" s="19">
        <f>SUM(I2:I6)</f>
        <v/>
      </c>
      <c r="J7" s="19">
        <f>SUM(J2:J6)</f>
        <v/>
      </c>
      <c r="K7" s="19">
        <f>SUM(K2:K6)</f>
        <v/>
      </c>
      <c r="L7" s="18" t="n"/>
      <c r="M7" s="19">
        <f>SUM(M2:M6)</f>
        <v/>
      </c>
      <c r="N7" s="18" t="n"/>
      <c r="O7" s="19">
        <f>SUM(O2:O6)</f>
        <v/>
      </c>
      <c r="P7" s="19">
        <f>SUM(P2:P6)</f>
        <v/>
      </c>
      <c r="Q7" s="19">
        <f>SUM(Q2:Q6)</f>
        <v/>
      </c>
      <c r="R7" s="18" t="n"/>
      <c r="S7" s="19">
        <f>SUM(S2:S6)</f>
        <v/>
      </c>
      <c r="T7" s="19">
        <f>SUM(T2:T6)</f>
        <v/>
      </c>
      <c r="U7" s="18" t="n"/>
    </row>
  </sheetData>
  <autoFilter ref="A1:U6"/>
  <mergeCells count="1">
    <mergeCell ref="A7:H7"/>
  </mergeCells>
  <conditionalFormatting sqref="U2:U100">
    <cfRule type="cellIs" priority="1" operator="equal" dxfId="0">
      <formula>"RUPTURA"</formula>
    </cfRule>
    <cfRule type="cellIs" priority="2" operator="equal" dxfId="1">
      <formula>"ATENCAO"</formula>
    </cfRule>
    <cfRule type="cellIs" priority="3" operator="equal" dxfId="2">
      <formula>"OK"</formula>
    </cfRule>
  </conditionalFormatting>
  <conditionalFormatting sqref="P2:P100">
    <cfRule type="cellIs" priority="4" operator="lessThan" dxfId="0">
      <formula>0</formula>
    </cfRule>
  </conditionalFormatting>
  <conditionalFormatting sqref="L2:L100">
    <cfRule type="cellIs" priority="5" operator="lessThan" dxfId="1">
      <formula>7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0" customWidth="1" min="4" max="4"/>
  </cols>
  <sheetData>
    <row r="1">
      <c r="A1" s="20" t="inlineStr">
        <is>
          <t>RESUMO EXECUTIVO — PLANO S&amp;OE</t>
        </is>
      </c>
    </row>
    <row r="3">
      <c r="A3" s="21" t="inlineStr">
        <is>
          <t>INDICADORES-CHAVE</t>
        </is>
      </c>
      <c r="B3" s="22" t="n"/>
    </row>
    <row r="4">
      <c r="A4" s="23" t="inlineStr">
        <is>
          <t>Total SKUs</t>
        </is>
      </c>
      <c r="B4" s="24">
        <f>COUNTA('Plano S&amp;OE'!A2:A6)</f>
        <v/>
      </c>
    </row>
    <row r="5">
      <c r="A5" s="23" t="inlineStr">
        <is>
          <t>SKUs em Ruptura</t>
        </is>
      </c>
      <c r="B5" s="24">
        <f>COUNTIF('Plano S&amp;OE'!U2:U6,"RUPTURA")</f>
        <v/>
      </c>
    </row>
    <row r="6">
      <c r="A6" s="23" t="inlineStr">
        <is>
          <t>SKUs em Atenção</t>
        </is>
      </c>
      <c r="B6" s="24">
        <f>COUNTIF('Plano S&amp;OE'!U2:U6,"ATENCAO")</f>
        <v/>
      </c>
    </row>
    <row r="7">
      <c r="A7" s="23" t="inlineStr">
        <is>
          <t>SKUs OK</t>
        </is>
      </c>
      <c r="B7" s="24">
        <f>COUNTIF('Plano S&amp;OE'!U2:U6,"OK")</f>
        <v/>
      </c>
    </row>
    <row r="8">
      <c r="A8" s="23" t="inlineStr">
        <is>
          <t>Demanda Total (ton)</t>
        </is>
      </c>
      <c r="B8" s="24">
        <f>SUM('Plano S&amp;OE'!M2:M6)</f>
        <v/>
      </c>
    </row>
    <row r="9">
      <c r="A9" s="23" t="inlineStr">
        <is>
          <t>Produção Programada Total (ton)</t>
        </is>
      </c>
      <c r="B9" s="24">
        <f>SUM('Plano S&amp;OE'!J2:J6)</f>
        <v/>
      </c>
    </row>
    <row r="10">
      <c r="A10" s="23" t="inlineStr">
        <is>
          <t>Gap Produção vs Demanda (ton)</t>
        </is>
      </c>
      <c r="B10" s="24">
        <f>SUM('Plano S&amp;OE'!J2:J6)-SUM('Plano S&amp;OE'!M2:M6)</f>
        <v/>
      </c>
    </row>
    <row r="11">
      <c r="A11" s="23" t="inlineStr">
        <is>
          <t>Ajuste Total Necessário (ton)</t>
        </is>
      </c>
      <c r="B11" s="24">
        <f>SUM('Plano S&amp;OE'!S2:S6)</f>
        <v/>
      </c>
    </row>
    <row r="13">
      <c r="A13" s="25" t="inlineStr">
        <is>
          <t>RISCOS IDENTIFICADOS</t>
        </is>
      </c>
      <c r="B13" s="26" t="n"/>
      <c r="C13" s="26" t="n"/>
      <c r="D13" s="26" t="n"/>
    </row>
    <row r="14">
      <c r="A14" s="27" t="inlineStr">
        <is>
          <t>• 100% dos SKUs projetam ruptura (estoque final negativo)</t>
        </is>
      </c>
    </row>
    <row r="15">
      <c r="A15" s="27" t="inlineStr">
        <is>
          <t>• Coluna Plano S&amp;OE não preenchida — modelo opera sem dado principal</t>
        </is>
      </c>
    </row>
    <row r="16">
      <c r="A16" s="27" t="inlineStr">
        <is>
          <t>• Programação SAP cobre apenas 3-10% da demanda mensal</t>
        </is>
      </c>
    </row>
    <row r="17">
      <c r="A17" s="27" t="inlineStr">
        <is>
          <t>• Itens MTS monitorados (FERRO 3, 4) com cobertura &lt; 3 dias</t>
        </is>
      </c>
    </row>
    <row r="18">
      <c r="A18" s="27" t="inlineStr">
        <is>
          <t>• Desvio padrão &gt; média em FERRO 3 e FERRO 4 — possível dado incorreto</t>
        </is>
      </c>
    </row>
    <row r="20">
      <c r="A20" s="28" t="inlineStr">
        <is>
          <t>AÇÕES RECOMENDADAS</t>
        </is>
      </c>
      <c r="B20" s="29" t="n"/>
      <c r="C20" s="29" t="n"/>
      <c r="D20" s="29" t="n"/>
    </row>
    <row r="21">
      <c r="A21" s="30" t="inlineStr">
        <is>
          <t>URGENTE</t>
        </is>
      </c>
      <c r="B21" s="23" t="inlineStr">
        <is>
          <t>Preencher coluna Plano S&amp;OE com volumes da revisão semanal</t>
        </is>
      </c>
      <c r="C21" s="31" t="n"/>
      <c r="D21" s="32" t="n"/>
    </row>
    <row r="22">
      <c r="A22" s="30" t="inlineStr">
        <is>
          <t>URGENTE</t>
        </is>
      </c>
      <c r="B22" s="23" t="inlineStr">
        <is>
          <t>Realinhar programação SAP — gap de ~13.000 ton vs demanda</t>
        </is>
      </c>
      <c r="C22" s="31" t="n"/>
      <c r="D22" s="32" t="n"/>
    </row>
    <row r="23">
      <c r="A23" s="33" t="inlineStr">
        <is>
          <t>ALTO</t>
        </is>
      </c>
      <c r="B23" s="23" t="inlineStr">
        <is>
          <t>Revisar histórico de demanda de FERRO 3 e 4 (σ &gt; média)</t>
        </is>
      </c>
      <c r="C23" s="31" t="n"/>
      <c r="D23" s="32" t="n"/>
    </row>
    <row r="24">
      <c r="A24" s="34" t="inlineStr">
        <is>
          <t>MÉDIO</t>
        </is>
      </c>
      <c r="B24" s="23" t="inlineStr">
        <is>
          <t>Diferenciar NS por estratégia (MTS=99%, MTO=por carteira)</t>
        </is>
      </c>
      <c r="C24" s="31" t="n"/>
      <c r="D24" s="32" t="n"/>
    </row>
    <row r="25">
      <c r="A25" s="34" t="inlineStr">
        <is>
          <t>MÉDIO</t>
        </is>
      </c>
      <c r="B25" s="23" t="inlineStr">
        <is>
          <t>Preencher coluna Carteira para itens MTO</t>
        </is>
      </c>
      <c r="C25" s="31" t="n"/>
      <c r="D25" s="32" t="n"/>
    </row>
    <row r="26">
      <c r="A26" s="34" t="inlineStr">
        <is>
          <t>BAIXO</t>
        </is>
      </c>
      <c r="B26" s="23" t="inlineStr">
        <is>
          <t>Incluir segmentos STRANGER/REPEATER se aplicável</t>
        </is>
      </c>
      <c r="C26" s="31" t="n"/>
      <c r="D26" s="32" t="n"/>
    </row>
  </sheetData>
  <mergeCells count="15">
    <mergeCell ref="A1:D1"/>
    <mergeCell ref="A17:D17"/>
    <mergeCell ref="A18:D18"/>
    <mergeCell ref="B23:D23"/>
    <mergeCell ref="B22:D22"/>
    <mergeCell ref="A20:D20"/>
    <mergeCell ref="B26:D26"/>
    <mergeCell ref="A15:D15"/>
    <mergeCell ref="B21:D21"/>
    <mergeCell ref="A16:D16"/>
    <mergeCell ref="B25:D25"/>
    <mergeCell ref="A3:B3"/>
    <mergeCell ref="B24:D24"/>
    <mergeCell ref="A13:D1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2026-07-02T05:32:57Z</dcterms:created>
  <dcterms:modified xsi:type="dcterms:W3CDTF">2026-07-02T05:32:57Z</dcterms:modified>
</cp:coreProperties>
</file>